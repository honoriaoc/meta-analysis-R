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bep-my.sharepoint.com/personal/honoria_ocagli_ubep_unipd_it/Documents/Lezioni/slides/Lezioni dottorandi/23 june Muka/data/"/>
    </mc:Choice>
  </mc:AlternateContent>
  <xr:revisionPtr revIDLastSave="1" documentId="8_{463131FF-648C-4724-9155-71B24E6F88F1}" xr6:coauthVersionLast="47" xr6:coauthVersionMax="47" xr10:uidLastSave="{FC642CFD-FFAE-4DDD-A972-FE8C1FA90CB0}"/>
  <bookViews>
    <workbookView xWindow="-28920" yWindow="-870" windowWidth="29040" windowHeight="15720" xr2:uid="{9F72746A-516D-4CBB-8E1F-F3CB334F53F6}"/>
  </bookViews>
  <sheets>
    <sheet name="Total cholesterol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J5" i="1" l="1"/>
  <c r="AJ17" i="1"/>
  <c r="Z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" i="1"/>
  <c r="V4" i="1"/>
  <c r="V6" i="1"/>
  <c r="V7" i="1"/>
  <c r="V9" i="1"/>
  <c r="V10" i="1"/>
  <c r="V11" i="1"/>
  <c r="V12" i="1"/>
  <c r="V13" i="1"/>
  <c r="V14" i="1"/>
  <c r="V15" i="1"/>
  <c r="V17" i="1"/>
  <c r="V18" i="1"/>
  <c r="V20" i="1"/>
  <c r="V21" i="1"/>
  <c r="V22" i="1"/>
  <c r="V23" i="1"/>
  <c r="V24" i="1"/>
  <c r="V26" i="1"/>
  <c r="V3" i="1"/>
  <c r="T4" i="1"/>
  <c r="T5" i="1"/>
  <c r="T6" i="1"/>
  <c r="T7" i="1"/>
  <c r="T8" i="1"/>
  <c r="T9" i="1"/>
  <c r="T10" i="1"/>
  <c r="T11" i="1"/>
  <c r="T12" i="1"/>
  <c r="T13" i="1"/>
  <c r="T14" i="1"/>
  <c r="T16" i="1"/>
  <c r="T17" i="1"/>
  <c r="T18" i="1"/>
  <c r="T19" i="1"/>
  <c r="T20" i="1"/>
  <c r="T21" i="1"/>
  <c r="T22" i="1"/>
  <c r="T23" i="1"/>
  <c r="T24" i="1"/>
  <c r="T26" i="1"/>
  <c r="T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" i="1"/>
  <c r="O5" i="1" l="1"/>
  <c r="N5" i="1"/>
  <c r="H5" i="1"/>
  <c r="G5" i="1"/>
  <c r="O17" i="1"/>
  <c r="N17" i="1"/>
  <c r="H17" i="1"/>
  <c r="G17" i="1"/>
  <c r="AI15" i="1"/>
  <c r="AJ15" i="1" s="1"/>
  <c r="O15" i="1"/>
  <c r="N15" i="1"/>
  <c r="H15" i="1"/>
  <c r="G15" i="1"/>
  <c r="AI10" i="1"/>
  <c r="AJ10" i="1" s="1"/>
  <c r="O10" i="1"/>
  <c r="N10" i="1"/>
  <c r="H10" i="1"/>
  <c r="G10" i="1"/>
  <c r="AI19" i="1"/>
  <c r="AJ19" i="1" s="1"/>
  <c r="O19" i="1"/>
  <c r="N19" i="1"/>
  <c r="H19" i="1"/>
  <c r="G19" i="1"/>
  <c r="AI24" i="1"/>
  <c r="AJ24" i="1" s="1"/>
  <c r="O24" i="1"/>
  <c r="N24" i="1"/>
  <c r="H24" i="1"/>
  <c r="G24" i="1"/>
  <c r="AI7" i="1"/>
  <c r="AJ7" i="1" s="1"/>
  <c r="O7" i="1"/>
  <c r="N7" i="1"/>
  <c r="H7" i="1"/>
  <c r="G7" i="1"/>
  <c r="AI13" i="1"/>
  <c r="AJ13" i="1" s="1"/>
  <c r="O13" i="1"/>
  <c r="N13" i="1"/>
  <c r="H13" i="1"/>
  <c r="G13" i="1"/>
  <c r="AI16" i="1"/>
  <c r="AJ16" i="1" s="1"/>
  <c r="O16" i="1"/>
  <c r="N16" i="1"/>
  <c r="H16" i="1"/>
  <c r="G16" i="1"/>
  <c r="AI3" i="1"/>
  <c r="AJ3" i="1" s="1"/>
  <c r="O3" i="1"/>
  <c r="N3" i="1"/>
  <c r="H3" i="1"/>
  <c r="G3" i="1"/>
  <c r="AI6" i="1"/>
  <c r="AJ6" i="1" s="1"/>
  <c r="O6" i="1"/>
  <c r="N6" i="1"/>
  <c r="H6" i="1"/>
  <c r="G6" i="1"/>
  <c r="AI11" i="1"/>
  <c r="AJ11" i="1" s="1"/>
  <c r="O11" i="1"/>
  <c r="N11" i="1"/>
  <c r="H11" i="1"/>
  <c r="G11" i="1"/>
  <c r="AI23" i="1"/>
  <c r="AJ23" i="1" s="1"/>
  <c r="O23" i="1"/>
  <c r="N23" i="1"/>
  <c r="H23" i="1"/>
  <c r="G23" i="1"/>
  <c r="AI22" i="1"/>
  <c r="AJ22" i="1" s="1"/>
  <c r="O22" i="1"/>
  <c r="N22" i="1"/>
  <c r="H22" i="1"/>
  <c r="G22" i="1"/>
  <c r="AI8" i="1"/>
  <c r="AJ8" i="1" s="1"/>
  <c r="O8" i="1"/>
  <c r="N8" i="1"/>
  <c r="H8" i="1"/>
  <c r="G8" i="1"/>
  <c r="AI2" i="1"/>
  <c r="O2" i="1"/>
  <c r="N2" i="1"/>
  <c r="H2" i="1"/>
  <c r="G2" i="1"/>
  <c r="AI4" i="1"/>
  <c r="AJ4" i="1" s="1"/>
  <c r="O4" i="1"/>
  <c r="N4" i="1"/>
  <c r="H4" i="1"/>
  <c r="G4" i="1"/>
  <c r="AI9" i="1"/>
  <c r="AJ9" i="1" s="1"/>
  <c r="O9" i="1"/>
  <c r="N9" i="1"/>
  <c r="H9" i="1"/>
  <c r="G9" i="1"/>
  <c r="AI26" i="1"/>
  <c r="AJ26" i="1" s="1"/>
  <c r="O26" i="1"/>
  <c r="N26" i="1"/>
  <c r="H26" i="1"/>
  <c r="G26" i="1"/>
  <c r="AI14" i="1"/>
  <c r="AJ14" i="1" s="1"/>
  <c r="O14" i="1"/>
  <c r="N14" i="1"/>
  <c r="H14" i="1"/>
  <c r="G14" i="1"/>
  <c r="AI18" i="1"/>
  <c r="AJ18" i="1" s="1"/>
  <c r="O18" i="1"/>
  <c r="N18" i="1"/>
  <c r="H18" i="1"/>
  <c r="G18" i="1"/>
  <c r="AI25" i="1"/>
  <c r="AJ25" i="1" s="1"/>
  <c r="O25" i="1"/>
  <c r="N25" i="1"/>
  <c r="H25" i="1"/>
  <c r="G25" i="1"/>
  <c r="AI12" i="1"/>
  <c r="AJ12" i="1" s="1"/>
  <c r="O12" i="1"/>
  <c r="N12" i="1"/>
  <c r="H12" i="1"/>
  <c r="G12" i="1"/>
  <c r="AI21" i="1"/>
  <c r="AJ21" i="1" s="1"/>
  <c r="O21" i="1"/>
  <c r="N21" i="1"/>
  <c r="H21" i="1"/>
  <c r="G21" i="1"/>
  <c r="AI20" i="1"/>
  <c r="AJ20" i="1" s="1"/>
  <c r="O20" i="1"/>
  <c r="N20" i="1"/>
  <c r="H20" i="1"/>
  <c r="G20" i="1"/>
  <c r="AJ2" i="1" l="1"/>
</calcChain>
</file>

<file path=xl/sharedStrings.xml><?xml version="1.0" encoding="utf-8"?>
<sst xmlns="http://schemas.openxmlformats.org/spreadsheetml/2006/main" count="192" uniqueCount="104">
  <si>
    <t>Author, Year of Publication</t>
  </si>
  <si>
    <t>n_int</t>
  </si>
  <si>
    <t>int_base_mean</t>
  </si>
  <si>
    <t>int_base_sd</t>
  </si>
  <si>
    <t>int_final_mean</t>
  </si>
  <si>
    <t>int_final_sd</t>
  </si>
  <si>
    <t>int_mean_diff</t>
  </si>
  <si>
    <t>int_sd_diff</t>
  </si>
  <si>
    <t>n_control</t>
  </si>
  <si>
    <t>cont_base_mean</t>
  </si>
  <si>
    <t>cont_base_sd</t>
  </si>
  <si>
    <t>cont_final_mean</t>
  </si>
  <si>
    <t>cont_final_sd</t>
  </si>
  <si>
    <t>cont_mean_diff</t>
  </si>
  <si>
    <t>cont_sd_diff</t>
  </si>
  <si>
    <t>Stratum1</t>
  </si>
  <si>
    <t>Stratum2</t>
  </si>
  <si>
    <t>Stratum3</t>
  </si>
  <si>
    <t>pills1dietary0</t>
  </si>
  <si>
    <t>Stratum4</t>
  </si>
  <si>
    <t>duration12</t>
  </si>
  <si>
    <t>Stratum5</t>
  </si>
  <si>
    <t>location</t>
  </si>
  <si>
    <t>Stratum6</t>
  </si>
  <si>
    <t>study design</t>
  </si>
  <si>
    <t>Stratum7</t>
  </si>
  <si>
    <t>type</t>
  </si>
  <si>
    <t>Stratum8</t>
  </si>
  <si>
    <t>healthy1</t>
  </si>
  <si>
    <t>Stratum9</t>
  </si>
  <si>
    <t>participants50</t>
  </si>
  <si>
    <t>Stratum10</t>
  </si>
  <si>
    <t>hypercholestero1</t>
  </si>
  <si>
    <t>Stratum11</t>
  </si>
  <si>
    <t>nonsmok1</t>
  </si>
  <si>
    <t>Stratum12</t>
  </si>
  <si>
    <t>study quality</t>
  </si>
  <si>
    <t>Stratum13</t>
  </si>
  <si>
    <t>soy iso</t>
  </si>
  <si>
    <t>Canada</t>
  </si>
  <si>
    <t>P</t>
  </si>
  <si>
    <t>Isof</t>
  </si>
  <si>
    <t>poor</t>
  </si>
  <si>
    <t>Bakhtiary et al, 2011</t>
  </si>
  <si>
    <t>Iran</t>
  </si>
  <si>
    <t>soy</t>
  </si>
  <si>
    <t>fair</t>
  </si>
  <si>
    <t>soy and iso</t>
  </si>
  <si>
    <t>Basaria et al, 2009</t>
  </si>
  <si>
    <t>USA</t>
  </si>
  <si>
    <t>soy protein</t>
  </si>
  <si>
    <t xml:space="preserve">good </t>
  </si>
  <si>
    <t>Blum et al, 2003</t>
  </si>
  <si>
    <t>Israel</t>
  </si>
  <si>
    <t>CO</t>
  </si>
  <si>
    <t>isof</t>
  </si>
  <si>
    <t>Braxas et al, 2019</t>
  </si>
  <si>
    <t>genistein</t>
  </si>
  <si>
    <t>Campbell et al, 2010</t>
  </si>
  <si>
    <t>soya snack</t>
  </si>
  <si>
    <t>isofla</t>
  </si>
  <si>
    <t>Choquette et al, 2011</t>
  </si>
  <si>
    <t>Curtis et al, 2012</t>
  </si>
  <si>
    <t>UK</t>
  </si>
  <si>
    <t>Dodin et al, 2005</t>
  </si>
  <si>
    <t>lignan</t>
  </si>
  <si>
    <t>isoflav</t>
  </si>
  <si>
    <t>Hall et al, 2005</t>
  </si>
  <si>
    <t>Europe</t>
  </si>
  <si>
    <t>Hidalgo et al, 2005</t>
  </si>
  <si>
    <t>Ecuador</t>
  </si>
  <si>
    <t>red clover iso</t>
  </si>
  <si>
    <t>Jassi et al,2010</t>
  </si>
  <si>
    <t>India</t>
  </si>
  <si>
    <t>iso</t>
  </si>
  <si>
    <t>Kim et al, 2013</t>
  </si>
  <si>
    <t>Korea</t>
  </si>
  <si>
    <t>Liu et al, 2013</t>
  </si>
  <si>
    <t xml:space="preserve">China </t>
  </si>
  <si>
    <t>p</t>
  </si>
  <si>
    <t>China</t>
  </si>
  <si>
    <t>Liu et al, 2014</t>
  </si>
  <si>
    <t>Whole soy</t>
  </si>
  <si>
    <t>Ma et al, 2013</t>
  </si>
  <si>
    <t>Japan</t>
  </si>
  <si>
    <t>Brazil</t>
  </si>
  <si>
    <t>Nahas et al, 2007</t>
  </si>
  <si>
    <t>Nikander et al, 2003</t>
  </si>
  <si>
    <t>Finnland</t>
  </si>
  <si>
    <t>Iso</t>
  </si>
  <si>
    <t>Rios et al, 2008</t>
  </si>
  <si>
    <t>Steinberg et al, 2003</t>
  </si>
  <si>
    <t>usa</t>
  </si>
  <si>
    <t>Iso soy protein</t>
  </si>
  <si>
    <t>Turhan et al, 2008</t>
  </si>
  <si>
    <t>Turkey</t>
  </si>
  <si>
    <t>Wu J. et al, 2006</t>
  </si>
  <si>
    <t>Ye at al, 2012</t>
  </si>
  <si>
    <t>Zhang et al, 2019</t>
  </si>
  <si>
    <t>Toal cholesterol</t>
  </si>
  <si>
    <t>Outcome</t>
  </si>
  <si>
    <t>Age</t>
  </si>
  <si>
    <t>BMI</t>
  </si>
  <si>
    <t>Age at menopause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</si>
</sst>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theme="1"/>
      <name val="Arial"/>
      <family val="2"/>
    </font>
    <font>
      <sz val="10"/>
      <name val="Calibri"/>
      <family val="2"/>
      <scheme val="minor"/>
    </font>
    <font>
      <sz val="8"/>
      <name val="Calibri"/>
      <family val="2"/>
      <scheme val="minor"/>
    </font>
    <font>
      <sz val="10"/>
      <name val="Arial"/>
      <family val="2"/>
    </font>
    <font>
      <sz val="9"/>
      <name val="Calibri"/>
      <family val="2"/>
      <scheme val="minor"/>
    </font>
    <font>
      <b/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3" fillId="0" borderId="0"/>
    <xf numFmtId="0" fontId="3" fillId="0" borderId="0"/>
  </cellStyleXfs>
  <cellXfs count="11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1" applyFont="1" applyAlignment="1">
      <alignment horizontal="left"/>
    </xf>
    <xf numFmtId="0" fontId="2" fillId="0" borderId="0" xfId="2" applyFont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5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2" fontId="2" fillId="0" borderId="0" xfId="2" applyNumberFormat="1" applyFont="1" applyAlignment="1">
      <alignment horizontal="left" vertical="top" wrapText="1"/>
    </xf>
    <xf numFmtId="2" fontId="2" fillId="0" borderId="0" xfId="0" applyNumberFormat="1" applyFont="1" applyAlignment="1">
      <alignment horizontal="left"/>
    </xf>
    <xf numFmtId="2" fontId="2" fillId="0" borderId="0" xfId="0" applyNumberFormat="1" applyFont="1" applyAlignment="1">
      <alignment horizontal="left" vertical="top"/>
    </xf>
  </cellXfs>
  <cellStyles count="3">
    <cellStyle name="Normal 2" xfId="1" xr:uid="{CBB6C1A0-D0DC-4142-970E-8E1591963F84}"/>
    <cellStyle name="Normal 3" xfId="2" xr:uid="{DBA7E60C-FAD1-4031-A6C9-070050B857F9}"/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9C1A84-028E-4647-B208-F9ABFA114852}">
  <dimension ref="A1:AP26"/>
  <sheetViews>
    <sheetView tabSelected="1" workbookViewId="0">
      <selection activeCell="A27" sqref="A27:XFD28"/>
    </sheetView>
  </sheetViews>
  <sheetFormatPr defaultColWidth="11.453125" defaultRowHeight="10.5" x14ac:dyDescent="0.25"/>
  <cols>
    <col min="1" max="1" width="35" style="2" customWidth="1"/>
    <col min="2" max="2" width="9.54296875" style="2" customWidth="1"/>
    <col min="3" max="15" width="11.453125" style="2"/>
    <col min="16" max="16" width="21.1796875" style="2" customWidth="1"/>
    <col min="17" max="20" width="11.453125" style="2"/>
    <col min="21" max="21" width="15.81640625" style="2" customWidth="1"/>
    <col min="22" max="30" width="11.453125" style="2"/>
    <col min="31" max="31" width="16.81640625" style="2" customWidth="1"/>
    <col min="32" max="36" width="11.453125" style="2"/>
    <col min="37" max="37" width="13.7265625" style="2" customWidth="1"/>
    <col min="38" max="16384" width="11.453125" style="2"/>
  </cols>
  <sheetData>
    <row r="1" spans="1:42" ht="13" x14ac:dyDescent="0.3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100</v>
      </c>
      <c r="Q1" s="3" t="s">
        <v>101</v>
      </c>
      <c r="R1" s="3" t="s">
        <v>15</v>
      </c>
      <c r="S1" s="3" t="s">
        <v>102</v>
      </c>
      <c r="T1" s="3" t="s">
        <v>16</v>
      </c>
      <c r="U1" s="3" t="s">
        <v>103</v>
      </c>
      <c r="V1" s="3" t="s">
        <v>17</v>
      </c>
      <c r="W1" s="3" t="s">
        <v>18</v>
      </c>
      <c r="X1" s="3" t="s">
        <v>19</v>
      </c>
      <c r="Y1" s="3" t="s">
        <v>20</v>
      </c>
      <c r="Z1" s="3" t="s">
        <v>21</v>
      </c>
      <c r="AA1" s="3" t="s">
        <v>22</v>
      </c>
      <c r="AB1" s="3" t="s">
        <v>23</v>
      </c>
      <c r="AC1" s="3" t="s">
        <v>24</v>
      </c>
      <c r="AD1" s="3" t="s">
        <v>25</v>
      </c>
      <c r="AE1" s="3" t="s">
        <v>26</v>
      </c>
      <c r="AF1" s="3" t="s">
        <v>27</v>
      </c>
      <c r="AG1" s="3" t="s">
        <v>28</v>
      </c>
      <c r="AH1" s="3" t="s">
        <v>29</v>
      </c>
      <c r="AI1" s="2" t="s">
        <v>30</v>
      </c>
      <c r="AJ1" s="2" t="s">
        <v>31</v>
      </c>
      <c r="AK1" s="2" t="s">
        <v>32</v>
      </c>
      <c r="AL1" s="2" t="s">
        <v>33</v>
      </c>
      <c r="AM1" s="2" t="s">
        <v>34</v>
      </c>
      <c r="AN1" s="2" t="s">
        <v>35</v>
      </c>
      <c r="AO1" s="2" t="s">
        <v>36</v>
      </c>
      <c r="AP1" s="2" t="s">
        <v>37</v>
      </c>
    </row>
    <row r="2" spans="1:42" ht="13" x14ac:dyDescent="0.3">
      <c r="A2" s="1" t="s">
        <v>67</v>
      </c>
      <c r="B2" s="5">
        <v>117</v>
      </c>
      <c r="C2" s="2">
        <v>6.03</v>
      </c>
      <c r="D2" s="2">
        <v>1.32</v>
      </c>
      <c r="E2" s="2">
        <v>6.13</v>
      </c>
      <c r="F2" s="2">
        <v>1.34</v>
      </c>
      <c r="G2" s="4">
        <f t="shared" ref="G2:G26" si="0">E2-C2</f>
        <v>9.9999999999999645E-2</v>
      </c>
      <c r="H2" s="8">
        <f t="shared" ref="H2:H26" si="1">SQRT((D2*D2)/B2+(F2*F2)/B2)</f>
        <v>0.17389455494441522</v>
      </c>
      <c r="I2" s="2">
        <v>117</v>
      </c>
      <c r="J2" s="2">
        <v>5.96</v>
      </c>
      <c r="K2" s="2">
        <v>1.19</v>
      </c>
      <c r="L2" s="2">
        <v>6.1</v>
      </c>
      <c r="M2" s="2">
        <v>1.22</v>
      </c>
      <c r="N2" s="5">
        <f t="shared" ref="N2:N26" si="2">L2-J2</f>
        <v>0.13999999999999968</v>
      </c>
      <c r="O2" s="10">
        <f t="shared" ref="O2:O26" si="3">SQRT((K2*K2)/I2+(M2*M2)/I2)</f>
        <v>0.15755883448663335</v>
      </c>
      <c r="P2" s="2" t="s">
        <v>99</v>
      </c>
      <c r="Q2" s="2">
        <v>57.7</v>
      </c>
      <c r="R2" s="2">
        <f>IF(Q2&gt;55,1,0)</f>
        <v>1</v>
      </c>
      <c r="S2" s="2">
        <v>25</v>
      </c>
      <c r="T2" s="2">
        <f>IF(S2&gt;26.225,1,0)</f>
        <v>0</v>
      </c>
      <c r="W2" s="2">
        <v>0</v>
      </c>
      <c r="X2" s="2">
        <v>0</v>
      </c>
      <c r="Y2" s="2">
        <v>8</v>
      </c>
      <c r="Z2" s="2">
        <f>IF(Y2&gt;12,1,0)</f>
        <v>0</v>
      </c>
      <c r="AA2" s="2" t="s">
        <v>68</v>
      </c>
      <c r="AB2" s="2">
        <v>0</v>
      </c>
      <c r="AC2" s="2" t="s">
        <v>54</v>
      </c>
      <c r="AD2" s="2">
        <v>0</v>
      </c>
      <c r="AE2" s="2" t="s">
        <v>66</v>
      </c>
      <c r="AF2" s="2">
        <v>0</v>
      </c>
      <c r="AG2" s="2">
        <v>1</v>
      </c>
      <c r="AH2" s="2">
        <v>1</v>
      </c>
      <c r="AI2" s="2">
        <f>B2+I2</f>
        <v>234</v>
      </c>
      <c r="AJ2" s="2">
        <f>IF(AI2&gt;76,1,0)</f>
        <v>1</v>
      </c>
      <c r="AK2" s="2">
        <v>0</v>
      </c>
      <c r="AL2" s="2">
        <v>0</v>
      </c>
      <c r="AM2" s="2">
        <v>1</v>
      </c>
      <c r="AN2" s="2">
        <v>1</v>
      </c>
      <c r="AO2" s="2" t="s">
        <v>46</v>
      </c>
      <c r="AP2" s="2">
        <v>1</v>
      </c>
    </row>
    <row r="3" spans="1:42" ht="13" x14ac:dyDescent="0.3">
      <c r="A3" s="1" t="s">
        <v>81</v>
      </c>
      <c r="B3" s="5">
        <v>90</v>
      </c>
      <c r="C3" s="2">
        <v>5.62</v>
      </c>
      <c r="D3" s="2">
        <v>0.92</v>
      </c>
      <c r="E3" s="2">
        <v>5.55</v>
      </c>
      <c r="F3" s="2">
        <v>0.85</v>
      </c>
      <c r="G3" s="4">
        <f t="shared" si="0"/>
        <v>-7.0000000000000284E-2</v>
      </c>
      <c r="H3" s="8">
        <f t="shared" si="1"/>
        <v>0.13203114110777889</v>
      </c>
      <c r="I3" s="2">
        <v>90</v>
      </c>
      <c r="J3" s="2">
        <v>5.69</v>
      </c>
      <c r="K3" s="2">
        <v>0.97</v>
      </c>
      <c r="L3" s="2">
        <v>5.86</v>
      </c>
      <c r="M3" s="2">
        <v>0.92</v>
      </c>
      <c r="N3" s="5">
        <f t="shared" si="2"/>
        <v>0.16999999999999993</v>
      </c>
      <c r="O3" s="10">
        <f t="shared" si="3"/>
        <v>0.14092156999156974</v>
      </c>
      <c r="P3" s="2" t="s">
        <v>99</v>
      </c>
      <c r="Q3" s="2">
        <v>57.9</v>
      </c>
      <c r="R3" s="2">
        <f t="shared" ref="R3:R26" si="4">IF(Q3&gt;55,1,0)</f>
        <v>1</v>
      </c>
      <c r="U3" s="2">
        <v>9</v>
      </c>
      <c r="V3" s="2">
        <f>IF(U3&gt;5.9,1,0)</f>
        <v>1</v>
      </c>
      <c r="W3" s="2">
        <v>0</v>
      </c>
      <c r="X3" s="2">
        <v>0</v>
      </c>
      <c r="Y3" s="2">
        <v>24</v>
      </c>
      <c r="Z3" s="2">
        <f t="shared" ref="Z3:Z26" si="5">IF(Y3&gt;12,1,0)</f>
        <v>1</v>
      </c>
      <c r="AA3" s="2" t="s">
        <v>80</v>
      </c>
      <c r="AB3" s="2">
        <v>1</v>
      </c>
      <c r="AC3" s="2" t="s">
        <v>40</v>
      </c>
      <c r="AD3" s="2">
        <v>1</v>
      </c>
      <c r="AE3" s="2" t="s">
        <v>82</v>
      </c>
      <c r="AF3" s="2">
        <v>0</v>
      </c>
      <c r="AG3" s="2">
        <v>1</v>
      </c>
      <c r="AH3" s="2">
        <v>1</v>
      </c>
      <c r="AI3" s="2">
        <f>B3+I3</f>
        <v>180</v>
      </c>
      <c r="AJ3" s="2">
        <f t="shared" ref="AJ3:AJ26" si="6">IF(AI3&gt;76,1,0)</f>
        <v>1</v>
      </c>
      <c r="AK3" s="2">
        <v>0</v>
      </c>
      <c r="AL3" s="2">
        <v>0</v>
      </c>
      <c r="AM3" s="2">
        <v>0</v>
      </c>
      <c r="AN3" s="2">
        <v>0</v>
      </c>
      <c r="AO3" s="2" t="s">
        <v>46</v>
      </c>
      <c r="AP3" s="2">
        <v>1</v>
      </c>
    </row>
    <row r="4" spans="1:42" ht="13" x14ac:dyDescent="0.3">
      <c r="A4" s="1" t="s">
        <v>64</v>
      </c>
      <c r="B4" s="5">
        <v>85</v>
      </c>
      <c r="C4" s="2">
        <v>5.67</v>
      </c>
      <c r="D4" s="2">
        <v>0.75</v>
      </c>
      <c r="E4" s="2">
        <v>5.66</v>
      </c>
      <c r="F4" s="2">
        <v>0.72</v>
      </c>
      <c r="G4" s="4">
        <f t="shared" si="0"/>
        <v>-9.9999999999997868E-3</v>
      </c>
      <c r="H4" s="8">
        <f t="shared" si="1"/>
        <v>0.1127673294364786</v>
      </c>
      <c r="I4" s="2">
        <v>94</v>
      </c>
      <c r="J4" s="2">
        <v>5.78</v>
      </c>
      <c r="K4" s="2">
        <v>0.71</v>
      </c>
      <c r="L4" s="2">
        <v>5.96</v>
      </c>
      <c r="M4" s="2">
        <v>0.72</v>
      </c>
      <c r="N4" s="5">
        <f t="shared" si="2"/>
        <v>0.17999999999999972</v>
      </c>
      <c r="O4" s="10">
        <f t="shared" si="3"/>
        <v>0.10429601897708314</v>
      </c>
      <c r="P4" s="2" t="s">
        <v>99</v>
      </c>
      <c r="Q4" s="2">
        <v>54.7</v>
      </c>
      <c r="R4" s="2">
        <f t="shared" si="4"/>
        <v>0</v>
      </c>
      <c r="S4" s="2">
        <v>26.2</v>
      </c>
      <c r="T4" s="2">
        <f t="shared" ref="T4:T26" si="7">IF(S4&gt;26.225,1,0)</f>
        <v>0</v>
      </c>
      <c r="U4" s="2">
        <v>5.3</v>
      </c>
      <c r="V4" s="2">
        <f t="shared" ref="V4:V26" si="8">IF(U4&gt;5.9,1,0)</f>
        <v>0</v>
      </c>
      <c r="W4" s="2">
        <v>0</v>
      </c>
      <c r="X4" s="2">
        <v>0</v>
      </c>
      <c r="Y4" s="2">
        <v>48</v>
      </c>
      <c r="Z4" s="2">
        <f t="shared" si="5"/>
        <v>1</v>
      </c>
      <c r="AA4" s="2" t="s">
        <v>39</v>
      </c>
      <c r="AB4" s="2">
        <v>2</v>
      </c>
      <c r="AC4" s="2" t="s">
        <v>40</v>
      </c>
      <c r="AD4" s="2">
        <v>1</v>
      </c>
      <c r="AE4" s="2" t="s">
        <v>65</v>
      </c>
      <c r="AF4" s="2">
        <v>1</v>
      </c>
      <c r="AG4" s="2">
        <v>1</v>
      </c>
      <c r="AH4" s="2">
        <v>1</v>
      </c>
      <c r="AI4" s="2">
        <f>B4+I4</f>
        <v>179</v>
      </c>
      <c r="AJ4" s="2">
        <f t="shared" si="6"/>
        <v>1</v>
      </c>
      <c r="AK4" s="2">
        <v>0</v>
      </c>
      <c r="AL4" s="2">
        <v>0</v>
      </c>
      <c r="AM4" s="2">
        <v>0</v>
      </c>
      <c r="AN4" s="2">
        <v>0</v>
      </c>
      <c r="AO4" s="2" t="s">
        <v>51</v>
      </c>
      <c r="AP4" s="2">
        <v>2</v>
      </c>
    </row>
    <row r="5" spans="1:42" ht="12" x14ac:dyDescent="0.3">
      <c r="A5" s="7" t="s">
        <v>98</v>
      </c>
      <c r="B5" s="2">
        <v>77</v>
      </c>
      <c r="C5" s="2">
        <v>6.7</v>
      </c>
      <c r="D5" s="2">
        <v>1.1000000000000001</v>
      </c>
      <c r="E5" s="2">
        <v>6.1</v>
      </c>
      <c r="F5" s="2">
        <v>1.1000000000000001</v>
      </c>
      <c r="G5" s="2">
        <f t="shared" si="0"/>
        <v>-0.60000000000000053</v>
      </c>
      <c r="H5" s="9">
        <f t="shared" si="1"/>
        <v>0.17728105208558367</v>
      </c>
      <c r="I5" s="2">
        <v>83</v>
      </c>
      <c r="J5" s="2">
        <v>6.7</v>
      </c>
      <c r="K5" s="2">
        <v>1.1000000000000001</v>
      </c>
      <c r="L5" s="2">
        <v>6.6</v>
      </c>
      <c r="M5" s="2">
        <v>1.1000000000000001</v>
      </c>
      <c r="N5" s="2">
        <f t="shared" si="2"/>
        <v>-0.10000000000000053</v>
      </c>
      <c r="O5" s="9">
        <f t="shared" si="3"/>
        <v>0.17075311565539325</v>
      </c>
      <c r="P5" s="2" t="s">
        <v>99</v>
      </c>
      <c r="Q5" s="2">
        <v>56.9</v>
      </c>
      <c r="R5" s="2">
        <f t="shared" si="4"/>
        <v>1</v>
      </c>
      <c r="S5" s="2">
        <v>22.7</v>
      </c>
      <c r="T5" s="2">
        <f t="shared" si="7"/>
        <v>0</v>
      </c>
      <c r="W5" s="2">
        <v>1</v>
      </c>
      <c r="X5" s="2">
        <v>1</v>
      </c>
      <c r="Y5" s="2">
        <v>24</v>
      </c>
      <c r="Z5" s="2">
        <f t="shared" si="5"/>
        <v>1</v>
      </c>
      <c r="AA5" s="2" t="s">
        <v>80</v>
      </c>
      <c r="AB5" s="2">
        <v>1</v>
      </c>
      <c r="AC5" s="2" t="s">
        <v>79</v>
      </c>
      <c r="AD5" s="2">
        <v>1</v>
      </c>
      <c r="AE5" s="2" t="s">
        <v>57</v>
      </c>
      <c r="AF5" s="2">
        <v>0</v>
      </c>
      <c r="AG5" s="2">
        <v>0</v>
      </c>
      <c r="AH5" s="2">
        <v>0</v>
      </c>
      <c r="AI5" s="2">
        <v>160</v>
      </c>
      <c r="AJ5" s="2">
        <f t="shared" si="6"/>
        <v>1</v>
      </c>
      <c r="AK5" s="2">
        <v>1</v>
      </c>
      <c r="AL5" s="2">
        <v>1</v>
      </c>
      <c r="AM5" s="2">
        <v>0</v>
      </c>
      <c r="AN5" s="2">
        <v>0</v>
      </c>
      <c r="AO5" s="2" t="s">
        <v>46</v>
      </c>
      <c r="AP5" s="2">
        <v>1</v>
      </c>
    </row>
    <row r="6" spans="1:42" ht="13" x14ac:dyDescent="0.3">
      <c r="A6" s="1" t="s">
        <v>77</v>
      </c>
      <c r="B6" s="5">
        <v>60</v>
      </c>
      <c r="C6" s="2">
        <v>5.83</v>
      </c>
      <c r="D6" s="2">
        <v>0.94</v>
      </c>
      <c r="E6" s="2">
        <v>5.67</v>
      </c>
      <c r="F6" s="2">
        <v>0.87</v>
      </c>
      <c r="G6" s="4">
        <f t="shared" si="0"/>
        <v>-0.16000000000000014</v>
      </c>
      <c r="H6" s="8">
        <f t="shared" si="1"/>
        <v>0.16535315741366013</v>
      </c>
      <c r="I6" s="2">
        <v>60</v>
      </c>
      <c r="J6" s="2">
        <v>5.63</v>
      </c>
      <c r="K6" s="2">
        <v>0.93</v>
      </c>
      <c r="L6" s="2">
        <v>5.43</v>
      </c>
      <c r="M6" s="2">
        <v>0.92</v>
      </c>
      <c r="N6" s="5">
        <f t="shared" si="2"/>
        <v>-0.20000000000000018</v>
      </c>
      <c r="O6" s="10">
        <f t="shared" si="3"/>
        <v>0.16888358909813195</v>
      </c>
      <c r="P6" s="2" t="s">
        <v>99</v>
      </c>
      <c r="Q6" s="2">
        <v>56.12</v>
      </c>
      <c r="R6" s="2">
        <f t="shared" si="4"/>
        <v>1</v>
      </c>
      <c r="S6" s="2">
        <v>24.5</v>
      </c>
      <c r="T6" s="2">
        <f t="shared" si="7"/>
        <v>0</v>
      </c>
      <c r="U6" s="2">
        <v>5.9</v>
      </c>
      <c r="V6" s="2">
        <f t="shared" si="8"/>
        <v>0</v>
      </c>
      <c r="W6" s="2">
        <v>0</v>
      </c>
      <c r="X6" s="2">
        <v>0</v>
      </c>
      <c r="Y6" s="2">
        <v>24</v>
      </c>
      <c r="Z6" s="2">
        <f t="shared" si="5"/>
        <v>1</v>
      </c>
      <c r="AA6" s="2" t="s">
        <v>78</v>
      </c>
      <c r="AB6" s="2">
        <v>1</v>
      </c>
      <c r="AC6" s="2" t="s">
        <v>79</v>
      </c>
      <c r="AD6" s="2">
        <v>1</v>
      </c>
      <c r="AE6" s="2" t="s">
        <v>45</v>
      </c>
      <c r="AF6" s="2">
        <v>0</v>
      </c>
      <c r="AG6" s="2">
        <v>0</v>
      </c>
      <c r="AH6" s="2">
        <v>0</v>
      </c>
      <c r="AI6" s="2">
        <f t="shared" ref="AI6:AI16" si="9">B6+I6</f>
        <v>120</v>
      </c>
      <c r="AJ6" s="2">
        <f t="shared" si="6"/>
        <v>1</v>
      </c>
      <c r="AK6" s="2">
        <v>0</v>
      </c>
      <c r="AL6" s="2">
        <v>0</v>
      </c>
      <c r="AM6" s="2">
        <v>0</v>
      </c>
      <c r="AN6" s="2">
        <v>0</v>
      </c>
      <c r="AO6" s="2" t="s">
        <v>46</v>
      </c>
      <c r="AP6" s="2">
        <v>1</v>
      </c>
    </row>
    <row r="7" spans="1:42" ht="13" x14ac:dyDescent="0.3">
      <c r="A7" s="1" t="s">
        <v>87</v>
      </c>
      <c r="B7" s="5">
        <v>56</v>
      </c>
      <c r="C7" s="2">
        <v>5.88</v>
      </c>
      <c r="D7" s="2">
        <v>0.97</v>
      </c>
      <c r="E7" s="2">
        <v>6.02</v>
      </c>
      <c r="F7" s="2">
        <v>1.46</v>
      </c>
      <c r="G7" s="4">
        <f t="shared" si="0"/>
        <v>0.13999999999999968</v>
      </c>
      <c r="H7" s="8">
        <f t="shared" si="1"/>
        <v>0.23423507728043513</v>
      </c>
      <c r="I7" s="2">
        <v>56</v>
      </c>
      <c r="J7" s="2">
        <v>5.83</v>
      </c>
      <c r="K7" s="2">
        <v>1.04</v>
      </c>
      <c r="L7" s="2">
        <v>5.91</v>
      </c>
      <c r="M7" s="2">
        <v>1.1299999999999999</v>
      </c>
      <c r="N7" s="5">
        <f t="shared" si="2"/>
        <v>8.0000000000000071E-2</v>
      </c>
      <c r="O7" s="10">
        <f t="shared" si="3"/>
        <v>0.20522200522500364</v>
      </c>
      <c r="P7" s="2" t="s">
        <v>99</v>
      </c>
      <c r="Q7" s="2">
        <v>54</v>
      </c>
      <c r="R7" s="2">
        <f t="shared" si="4"/>
        <v>0</v>
      </c>
      <c r="S7" s="2">
        <v>26.25</v>
      </c>
      <c r="T7" s="2">
        <f t="shared" si="7"/>
        <v>1</v>
      </c>
      <c r="U7" s="2">
        <v>5.3</v>
      </c>
      <c r="V7" s="2">
        <f t="shared" si="8"/>
        <v>0</v>
      </c>
      <c r="W7" s="2">
        <v>1</v>
      </c>
      <c r="X7" s="2">
        <v>1</v>
      </c>
      <c r="Y7" s="2">
        <v>12</v>
      </c>
      <c r="Z7" s="2">
        <f t="shared" si="5"/>
        <v>0</v>
      </c>
      <c r="AA7" s="2" t="s">
        <v>88</v>
      </c>
      <c r="AB7" s="2">
        <v>0</v>
      </c>
      <c r="AC7" s="2" t="s">
        <v>54</v>
      </c>
      <c r="AD7" s="2">
        <v>0</v>
      </c>
      <c r="AE7" s="2" t="s">
        <v>89</v>
      </c>
      <c r="AF7" s="2">
        <v>0</v>
      </c>
      <c r="AG7" s="2">
        <v>0</v>
      </c>
      <c r="AH7" s="2">
        <v>0</v>
      </c>
      <c r="AI7" s="2">
        <f t="shared" si="9"/>
        <v>112</v>
      </c>
      <c r="AJ7" s="2">
        <f t="shared" si="6"/>
        <v>1</v>
      </c>
      <c r="AK7" s="2">
        <v>0</v>
      </c>
      <c r="AL7" s="2">
        <v>0</v>
      </c>
      <c r="AM7" s="2">
        <v>1</v>
      </c>
      <c r="AN7" s="2">
        <v>1</v>
      </c>
      <c r="AO7" s="2" t="s">
        <v>46</v>
      </c>
      <c r="AP7" s="2">
        <v>1</v>
      </c>
    </row>
    <row r="8" spans="1:42" ht="13" x14ac:dyDescent="0.3">
      <c r="A8" s="1" t="s">
        <v>69</v>
      </c>
      <c r="B8" s="5">
        <v>53</v>
      </c>
      <c r="C8" s="2">
        <v>5.8</v>
      </c>
      <c r="D8" s="2">
        <v>0.97</v>
      </c>
      <c r="E8" s="2">
        <v>5.5</v>
      </c>
      <c r="F8" s="2">
        <v>0.83</v>
      </c>
      <c r="G8" s="4">
        <f t="shared" si="0"/>
        <v>-0.29999999999999982</v>
      </c>
      <c r="H8" s="8">
        <f t="shared" si="1"/>
        <v>0.17535946908059002</v>
      </c>
      <c r="I8" s="2">
        <v>53</v>
      </c>
      <c r="J8" s="2">
        <v>5.8</v>
      </c>
      <c r="K8" s="2">
        <v>0.97</v>
      </c>
      <c r="L8" s="2">
        <v>5.7</v>
      </c>
      <c r="M8" s="2">
        <v>0.88</v>
      </c>
      <c r="N8" s="5">
        <f t="shared" si="2"/>
        <v>-9.9999999999999645E-2</v>
      </c>
      <c r="O8" s="10">
        <f t="shared" si="3"/>
        <v>0.17990039172663361</v>
      </c>
      <c r="P8" s="2" t="s">
        <v>99</v>
      </c>
      <c r="Q8" s="2">
        <v>51.3</v>
      </c>
      <c r="R8" s="2">
        <f t="shared" si="4"/>
        <v>0</v>
      </c>
      <c r="S8" s="2">
        <v>26.6</v>
      </c>
      <c r="T8" s="2">
        <f t="shared" si="7"/>
        <v>1</v>
      </c>
      <c r="W8" s="2">
        <v>1</v>
      </c>
      <c r="X8" s="2">
        <v>1</v>
      </c>
      <c r="Y8" s="2">
        <v>12</v>
      </c>
      <c r="Z8" s="2">
        <f t="shared" si="5"/>
        <v>0</v>
      </c>
      <c r="AA8" s="2" t="s">
        <v>70</v>
      </c>
      <c r="AB8" s="2">
        <v>4</v>
      </c>
      <c r="AC8" s="2" t="s">
        <v>54</v>
      </c>
      <c r="AD8" s="2">
        <v>0</v>
      </c>
      <c r="AE8" s="2" t="s">
        <v>71</v>
      </c>
      <c r="AF8" s="2">
        <v>2</v>
      </c>
      <c r="AG8" s="2">
        <v>1</v>
      </c>
      <c r="AH8" s="2">
        <v>1</v>
      </c>
      <c r="AI8" s="2">
        <f t="shared" si="9"/>
        <v>106</v>
      </c>
      <c r="AJ8" s="2">
        <f t="shared" si="6"/>
        <v>1</v>
      </c>
      <c r="AK8" s="2">
        <v>0</v>
      </c>
      <c r="AL8" s="2">
        <v>0</v>
      </c>
      <c r="AM8" s="2">
        <v>0</v>
      </c>
      <c r="AN8" s="2">
        <v>0</v>
      </c>
      <c r="AO8" s="2" t="s">
        <v>46</v>
      </c>
      <c r="AP8" s="2">
        <v>1</v>
      </c>
    </row>
    <row r="9" spans="1:42" ht="13" x14ac:dyDescent="0.3">
      <c r="A9" s="1" t="s">
        <v>62</v>
      </c>
      <c r="B9" s="5">
        <v>47</v>
      </c>
      <c r="C9" s="2">
        <v>4.26</v>
      </c>
      <c r="D9" s="2">
        <v>0.62</v>
      </c>
      <c r="E9" s="2">
        <v>4.22</v>
      </c>
      <c r="F9" s="2">
        <v>0.69</v>
      </c>
      <c r="G9" s="4">
        <f t="shared" si="0"/>
        <v>-4.0000000000000036E-2</v>
      </c>
      <c r="H9" s="8">
        <f t="shared" si="1"/>
        <v>0.13530894515255773</v>
      </c>
      <c r="I9" s="2">
        <v>46</v>
      </c>
      <c r="J9" s="2">
        <v>4.29</v>
      </c>
      <c r="K9" s="2">
        <v>0.75</v>
      </c>
      <c r="L9" s="2">
        <v>4.3499999999999996</v>
      </c>
      <c r="M9" s="2">
        <v>0.75</v>
      </c>
      <c r="N9" s="5">
        <f t="shared" si="2"/>
        <v>5.9999999999999609E-2</v>
      </c>
      <c r="O9" s="10">
        <f t="shared" si="3"/>
        <v>0.15638581054280606</v>
      </c>
      <c r="P9" s="2" t="s">
        <v>99</v>
      </c>
      <c r="Q9" s="2">
        <v>62.5</v>
      </c>
      <c r="R9" s="2">
        <f t="shared" si="4"/>
        <v>1</v>
      </c>
      <c r="S9" s="2">
        <v>32.299999999999997</v>
      </c>
      <c r="T9" s="2">
        <f t="shared" si="7"/>
        <v>1</v>
      </c>
      <c r="U9" s="2">
        <v>13.5</v>
      </c>
      <c r="V9" s="2">
        <f t="shared" si="8"/>
        <v>1</v>
      </c>
      <c r="W9" s="2">
        <v>0</v>
      </c>
      <c r="X9" s="2">
        <v>0</v>
      </c>
      <c r="Y9" s="2">
        <v>48</v>
      </c>
      <c r="Z9" s="2">
        <f t="shared" si="5"/>
        <v>1</v>
      </c>
      <c r="AA9" s="2" t="s">
        <v>63</v>
      </c>
      <c r="AB9" s="2">
        <v>0</v>
      </c>
      <c r="AC9" s="2" t="s">
        <v>40</v>
      </c>
      <c r="AD9" s="2">
        <v>1</v>
      </c>
      <c r="AE9" s="2" t="s">
        <v>55</v>
      </c>
      <c r="AF9" s="2">
        <v>0</v>
      </c>
      <c r="AG9" s="2">
        <v>0</v>
      </c>
      <c r="AH9" s="2">
        <v>0</v>
      </c>
      <c r="AI9" s="2">
        <f t="shared" si="9"/>
        <v>93</v>
      </c>
      <c r="AJ9" s="2">
        <f t="shared" si="6"/>
        <v>1</v>
      </c>
      <c r="AK9" s="2">
        <v>0</v>
      </c>
      <c r="AL9" s="2">
        <v>0</v>
      </c>
      <c r="AM9" s="2">
        <v>1</v>
      </c>
      <c r="AN9" s="2">
        <v>1</v>
      </c>
      <c r="AO9" s="2" t="s">
        <v>42</v>
      </c>
      <c r="AP9" s="2">
        <v>0</v>
      </c>
    </row>
    <row r="10" spans="1:42" ht="13" x14ac:dyDescent="0.3">
      <c r="A10" s="1" t="s">
        <v>94</v>
      </c>
      <c r="B10" s="2">
        <v>45</v>
      </c>
      <c r="C10" s="2">
        <v>6.82</v>
      </c>
      <c r="D10" s="2">
        <v>0.96</v>
      </c>
      <c r="E10" s="2">
        <v>6.38</v>
      </c>
      <c r="F10" s="2">
        <v>0.77</v>
      </c>
      <c r="G10" s="4">
        <f t="shared" si="0"/>
        <v>-0.44000000000000039</v>
      </c>
      <c r="H10" s="8">
        <f t="shared" si="1"/>
        <v>0.1834545054108935</v>
      </c>
      <c r="I10" s="2">
        <v>45</v>
      </c>
      <c r="J10" s="2">
        <v>6.29</v>
      </c>
      <c r="K10" s="2">
        <v>0.76</v>
      </c>
      <c r="L10" s="2">
        <v>6.45</v>
      </c>
      <c r="M10" s="2">
        <v>0.76</v>
      </c>
      <c r="N10" s="5">
        <f t="shared" si="2"/>
        <v>0.16000000000000014</v>
      </c>
      <c r="O10" s="10">
        <f t="shared" si="3"/>
        <v>0.16022206811519787</v>
      </c>
      <c r="P10" s="2" t="s">
        <v>99</v>
      </c>
      <c r="Q10" s="2">
        <v>51.5</v>
      </c>
      <c r="R10" s="2">
        <f t="shared" si="4"/>
        <v>0</v>
      </c>
      <c r="S10" s="2">
        <v>27.1</v>
      </c>
      <c r="T10" s="2">
        <f t="shared" si="7"/>
        <v>1</v>
      </c>
      <c r="U10" s="2">
        <v>3.6</v>
      </c>
      <c r="V10" s="2">
        <f t="shared" si="8"/>
        <v>0</v>
      </c>
      <c r="W10" s="2">
        <v>1</v>
      </c>
      <c r="X10" s="2">
        <v>1</v>
      </c>
      <c r="Y10" s="2">
        <v>24</v>
      </c>
      <c r="Z10" s="2">
        <f t="shared" si="5"/>
        <v>1</v>
      </c>
      <c r="AA10" s="2" t="s">
        <v>95</v>
      </c>
      <c r="AB10" s="2">
        <v>5</v>
      </c>
      <c r="AC10" s="2" t="s">
        <v>40</v>
      </c>
      <c r="AD10" s="2">
        <v>1</v>
      </c>
      <c r="AE10" s="2" t="s">
        <v>66</v>
      </c>
      <c r="AF10" s="2">
        <v>0</v>
      </c>
      <c r="AG10" s="2">
        <v>1</v>
      </c>
      <c r="AH10" s="2">
        <v>1</v>
      </c>
      <c r="AI10" s="2">
        <f t="shared" si="9"/>
        <v>90</v>
      </c>
      <c r="AJ10" s="2">
        <f t="shared" si="6"/>
        <v>1</v>
      </c>
      <c r="AK10" s="2">
        <v>0</v>
      </c>
      <c r="AL10" s="2">
        <v>0</v>
      </c>
      <c r="AM10" s="2">
        <v>1</v>
      </c>
      <c r="AN10" s="2">
        <v>1</v>
      </c>
      <c r="AO10" s="2" t="s">
        <v>46</v>
      </c>
      <c r="AP10" s="2">
        <v>1</v>
      </c>
    </row>
    <row r="11" spans="1:42" ht="13" x14ac:dyDescent="0.3">
      <c r="A11" s="1" t="s">
        <v>75</v>
      </c>
      <c r="B11" s="5">
        <v>42</v>
      </c>
      <c r="C11" s="2">
        <v>5.13</v>
      </c>
      <c r="D11" s="2">
        <v>0.85</v>
      </c>
      <c r="E11" s="2">
        <v>4.93</v>
      </c>
      <c r="F11" s="2">
        <v>0.97</v>
      </c>
      <c r="G11" s="4">
        <f t="shared" si="0"/>
        <v>-0.20000000000000018</v>
      </c>
      <c r="H11" s="8">
        <f t="shared" si="1"/>
        <v>0.19900945179755133</v>
      </c>
      <c r="I11" s="2">
        <v>43</v>
      </c>
      <c r="J11" s="2">
        <v>5.48</v>
      </c>
      <c r="K11" s="2">
        <v>1.03</v>
      </c>
      <c r="L11" s="2">
        <v>5.24</v>
      </c>
      <c r="M11" s="2">
        <v>0.9</v>
      </c>
      <c r="N11" s="5">
        <f t="shared" si="2"/>
        <v>-0.24000000000000021</v>
      </c>
      <c r="O11" s="10">
        <f t="shared" si="3"/>
        <v>0.20858883557271563</v>
      </c>
      <c r="P11" s="2" t="s">
        <v>99</v>
      </c>
      <c r="Q11" s="2">
        <v>53.6</v>
      </c>
      <c r="R11" s="2">
        <f t="shared" si="4"/>
        <v>0</v>
      </c>
      <c r="S11" s="2">
        <v>23.3</v>
      </c>
      <c r="T11" s="2">
        <f t="shared" si="7"/>
        <v>0</v>
      </c>
      <c r="U11" s="2">
        <v>3.6</v>
      </c>
      <c r="V11" s="2">
        <f t="shared" si="8"/>
        <v>0</v>
      </c>
      <c r="W11" s="2">
        <v>1</v>
      </c>
      <c r="X11" s="2">
        <v>1</v>
      </c>
      <c r="Y11" s="2">
        <v>12</v>
      </c>
      <c r="Z11" s="2">
        <f t="shared" si="5"/>
        <v>0</v>
      </c>
      <c r="AA11" s="2" t="s">
        <v>76</v>
      </c>
      <c r="AB11" s="2">
        <v>1</v>
      </c>
      <c r="AC11" s="2" t="s">
        <v>40</v>
      </c>
      <c r="AD11" s="2">
        <v>1</v>
      </c>
      <c r="AE11" s="2" t="s">
        <v>55</v>
      </c>
      <c r="AF11" s="2">
        <v>0</v>
      </c>
      <c r="AG11" s="2">
        <v>1</v>
      </c>
      <c r="AH11" s="2">
        <v>1</v>
      </c>
      <c r="AI11" s="2">
        <f t="shared" si="9"/>
        <v>85</v>
      </c>
      <c r="AJ11" s="2">
        <f t="shared" si="6"/>
        <v>1</v>
      </c>
      <c r="AK11" s="2">
        <v>0</v>
      </c>
      <c r="AL11" s="2">
        <v>0</v>
      </c>
      <c r="AM11" s="2">
        <v>0</v>
      </c>
      <c r="AN11" s="2">
        <v>0</v>
      </c>
      <c r="AO11" s="2" t="s">
        <v>46</v>
      </c>
      <c r="AP11" s="2">
        <v>1</v>
      </c>
    </row>
    <row r="12" spans="1:42" ht="13" x14ac:dyDescent="0.3">
      <c r="A12" s="1" t="s">
        <v>48</v>
      </c>
      <c r="B12" s="5">
        <v>38</v>
      </c>
      <c r="C12" s="2">
        <v>5.48</v>
      </c>
      <c r="D12" s="2">
        <v>0.14000000000000001</v>
      </c>
      <c r="E12" s="2">
        <v>5.4</v>
      </c>
      <c r="F12" s="2">
        <v>0.16</v>
      </c>
      <c r="G12" s="4">
        <f t="shared" si="0"/>
        <v>-8.0000000000000071E-2</v>
      </c>
      <c r="H12" s="8">
        <f t="shared" si="1"/>
        <v>3.4488747211380788E-2</v>
      </c>
      <c r="I12" s="2">
        <v>46</v>
      </c>
      <c r="J12" s="2">
        <v>5.69</v>
      </c>
      <c r="K12" s="2">
        <v>0.14000000000000001</v>
      </c>
      <c r="L12" s="2">
        <v>5.63</v>
      </c>
      <c r="M12" s="2">
        <v>0.14000000000000001</v>
      </c>
      <c r="N12" s="5">
        <f t="shared" si="2"/>
        <v>-6.0000000000000497E-2</v>
      </c>
      <c r="O12" s="10">
        <f t="shared" si="3"/>
        <v>2.919201796799047E-2</v>
      </c>
      <c r="P12" s="2" t="s">
        <v>99</v>
      </c>
      <c r="Q12" s="2">
        <v>56</v>
      </c>
      <c r="R12" s="2">
        <f t="shared" si="4"/>
        <v>1</v>
      </c>
      <c r="S12" s="2">
        <v>25.9</v>
      </c>
      <c r="T12" s="2">
        <f t="shared" si="7"/>
        <v>0</v>
      </c>
      <c r="U12" s="2">
        <v>5.6</v>
      </c>
      <c r="V12" s="2">
        <f t="shared" si="8"/>
        <v>0</v>
      </c>
      <c r="W12" s="2">
        <v>0</v>
      </c>
      <c r="X12" s="2">
        <v>0</v>
      </c>
      <c r="Y12" s="2">
        <v>12</v>
      </c>
      <c r="Z12" s="2">
        <f t="shared" si="5"/>
        <v>0</v>
      </c>
      <c r="AA12" s="2" t="s">
        <v>49</v>
      </c>
      <c r="AB12" s="2">
        <v>2</v>
      </c>
      <c r="AC12" s="2" t="s">
        <v>40</v>
      </c>
      <c r="AD12" s="2">
        <v>1</v>
      </c>
      <c r="AE12" s="2" t="s">
        <v>50</v>
      </c>
      <c r="AF12" s="6">
        <v>0</v>
      </c>
      <c r="AG12" s="2">
        <v>1</v>
      </c>
      <c r="AH12" s="2">
        <v>1</v>
      </c>
      <c r="AI12" s="2">
        <f t="shared" si="9"/>
        <v>84</v>
      </c>
      <c r="AJ12" s="2">
        <f t="shared" si="6"/>
        <v>1</v>
      </c>
      <c r="AK12" s="2">
        <v>0</v>
      </c>
      <c r="AL12" s="2">
        <v>0</v>
      </c>
      <c r="AM12" s="6">
        <v>0</v>
      </c>
      <c r="AN12" s="6">
        <v>0</v>
      </c>
      <c r="AO12" s="2" t="s">
        <v>51</v>
      </c>
      <c r="AP12" s="2">
        <v>2</v>
      </c>
    </row>
    <row r="13" spans="1:42" x14ac:dyDescent="0.25">
      <c r="A13" s="2" t="s">
        <v>86</v>
      </c>
      <c r="B13" s="2">
        <v>38</v>
      </c>
      <c r="C13" s="2">
        <v>5.56</v>
      </c>
      <c r="D13" s="2">
        <v>0.92</v>
      </c>
      <c r="E13" s="2">
        <v>5.62</v>
      </c>
      <c r="F13" s="2">
        <v>1.03</v>
      </c>
      <c r="G13" s="2">
        <f t="shared" si="0"/>
        <v>6.0000000000000497E-2</v>
      </c>
      <c r="H13" s="9">
        <f t="shared" si="1"/>
        <v>0.22403594636387683</v>
      </c>
      <c r="I13" s="2">
        <v>38</v>
      </c>
      <c r="J13" s="2">
        <v>5.37</v>
      </c>
      <c r="K13" s="2">
        <v>0.97</v>
      </c>
      <c r="L13" s="2">
        <v>5.44</v>
      </c>
      <c r="M13" s="2">
        <v>0.97</v>
      </c>
      <c r="N13" s="2">
        <f t="shared" si="2"/>
        <v>7.0000000000000284E-2</v>
      </c>
      <c r="O13" s="9">
        <f t="shared" si="3"/>
        <v>0.22253326185444491</v>
      </c>
      <c r="P13" s="2" t="s">
        <v>99</v>
      </c>
      <c r="Q13" s="2">
        <v>55.7</v>
      </c>
      <c r="R13" s="2">
        <f t="shared" si="4"/>
        <v>1</v>
      </c>
      <c r="S13" s="2">
        <v>29.1</v>
      </c>
      <c r="T13" s="2">
        <f t="shared" si="7"/>
        <v>1</v>
      </c>
      <c r="U13" s="2">
        <v>6.85</v>
      </c>
      <c r="V13" s="2">
        <f t="shared" si="8"/>
        <v>1</v>
      </c>
      <c r="W13" s="2">
        <v>1</v>
      </c>
      <c r="X13" s="2">
        <v>1</v>
      </c>
      <c r="Y13" s="2">
        <v>10</v>
      </c>
      <c r="Z13" s="2">
        <f t="shared" si="5"/>
        <v>0</v>
      </c>
      <c r="AA13" s="2" t="s">
        <v>85</v>
      </c>
      <c r="AB13" s="2">
        <v>4</v>
      </c>
      <c r="AC13" s="2" t="s">
        <v>79</v>
      </c>
      <c r="AD13" s="2">
        <v>1</v>
      </c>
      <c r="AE13" s="2" t="s">
        <v>38</v>
      </c>
      <c r="AF13" s="2">
        <v>0</v>
      </c>
      <c r="AG13" s="2">
        <v>1</v>
      </c>
      <c r="AH13" s="2">
        <v>1</v>
      </c>
      <c r="AI13" s="2">
        <f t="shared" si="9"/>
        <v>76</v>
      </c>
      <c r="AJ13" s="2">
        <f t="shared" si="6"/>
        <v>0</v>
      </c>
      <c r="AK13" s="2">
        <v>0</v>
      </c>
      <c r="AL13" s="2">
        <v>0</v>
      </c>
      <c r="AM13" s="2">
        <v>0</v>
      </c>
      <c r="AN13" s="2">
        <v>0</v>
      </c>
      <c r="AO13" s="2" t="s">
        <v>51</v>
      </c>
      <c r="AP13" s="2">
        <v>2</v>
      </c>
    </row>
    <row r="14" spans="1:42" ht="13" x14ac:dyDescent="0.3">
      <c r="A14" s="1" t="s">
        <v>58</v>
      </c>
      <c r="B14" s="5">
        <v>35</v>
      </c>
      <c r="C14" s="2">
        <v>5.97</v>
      </c>
      <c r="D14" s="2">
        <v>0.93</v>
      </c>
      <c r="E14" s="2">
        <v>6.27</v>
      </c>
      <c r="F14" s="2">
        <v>0.95</v>
      </c>
      <c r="G14" s="4">
        <f t="shared" si="0"/>
        <v>0.29999999999999982</v>
      </c>
      <c r="H14" s="8">
        <f t="shared" si="1"/>
        <v>0.22471569339310252</v>
      </c>
      <c r="I14" s="2">
        <v>27</v>
      </c>
      <c r="J14" s="2">
        <v>6.13</v>
      </c>
      <c r="K14" s="2">
        <v>0.91</v>
      </c>
      <c r="L14" s="2">
        <v>6.57</v>
      </c>
      <c r="M14" s="2">
        <v>0.93</v>
      </c>
      <c r="N14" s="5">
        <f t="shared" si="2"/>
        <v>0.44000000000000039</v>
      </c>
      <c r="O14" s="10">
        <f t="shared" si="3"/>
        <v>0.25040707598569117</v>
      </c>
      <c r="P14" s="2" t="s">
        <v>99</v>
      </c>
      <c r="Q14" s="2">
        <v>54.3</v>
      </c>
      <c r="R14" s="2">
        <f t="shared" si="4"/>
        <v>0</v>
      </c>
      <c r="S14" s="2">
        <v>28.03</v>
      </c>
      <c r="T14" s="2">
        <f t="shared" si="7"/>
        <v>1</v>
      </c>
      <c r="U14" s="2">
        <v>5.4</v>
      </c>
      <c r="V14" s="2">
        <f t="shared" si="8"/>
        <v>0</v>
      </c>
      <c r="W14" s="2">
        <v>0</v>
      </c>
      <c r="X14" s="2">
        <v>0</v>
      </c>
      <c r="Y14" s="2">
        <v>48</v>
      </c>
      <c r="Z14" s="2">
        <f t="shared" si="5"/>
        <v>1</v>
      </c>
      <c r="AA14" s="2" t="s">
        <v>49</v>
      </c>
      <c r="AB14" s="2">
        <v>2</v>
      </c>
      <c r="AC14" s="2" t="s">
        <v>40</v>
      </c>
      <c r="AD14" s="2">
        <v>1</v>
      </c>
      <c r="AE14" s="2" t="s">
        <v>59</v>
      </c>
      <c r="AF14" s="2">
        <v>0</v>
      </c>
      <c r="AG14" s="2">
        <v>1</v>
      </c>
      <c r="AH14" s="2">
        <v>1</v>
      </c>
      <c r="AI14" s="2">
        <f t="shared" si="9"/>
        <v>62</v>
      </c>
      <c r="AJ14" s="2">
        <f t="shared" si="6"/>
        <v>0</v>
      </c>
      <c r="AK14" s="2">
        <v>0</v>
      </c>
      <c r="AL14" s="2">
        <v>0</v>
      </c>
      <c r="AM14" s="2">
        <v>0</v>
      </c>
      <c r="AN14" s="2">
        <v>0</v>
      </c>
      <c r="AO14" s="2" t="s">
        <v>51</v>
      </c>
      <c r="AP14" s="2">
        <v>2</v>
      </c>
    </row>
    <row r="15" spans="1:42" ht="13" x14ac:dyDescent="0.3">
      <c r="A15" s="1" t="s">
        <v>96</v>
      </c>
      <c r="B15" s="5">
        <v>33</v>
      </c>
      <c r="C15" s="2">
        <v>5.89</v>
      </c>
      <c r="D15" s="2">
        <v>0.76</v>
      </c>
      <c r="E15" s="2">
        <v>6.02</v>
      </c>
      <c r="F15" s="2">
        <v>0.93</v>
      </c>
      <c r="G15" s="4">
        <f t="shared" si="0"/>
        <v>0.12999999999999989</v>
      </c>
      <c r="H15" s="8">
        <f t="shared" si="1"/>
        <v>0.20907443940405823</v>
      </c>
      <c r="I15" s="2">
        <v>33</v>
      </c>
      <c r="J15" s="2">
        <v>5.88</v>
      </c>
      <c r="K15" s="2">
        <v>0.86</v>
      </c>
      <c r="L15" s="2">
        <v>5.98</v>
      </c>
      <c r="M15" s="2">
        <v>0.75</v>
      </c>
      <c r="N15" s="5">
        <f t="shared" si="2"/>
        <v>0.10000000000000053</v>
      </c>
      <c r="O15" s="10">
        <f t="shared" si="3"/>
        <v>0.1986393107055493</v>
      </c>
      <c r="P15" s="2" t="s">
        <v>99</v>
      </c>
      <c r="Q15" s="2">
        <v>54</v>
      </c>
      <c r="R15" s="2">
        <f t="shared" si="4"/>
        <v>0</v>
      </c>
      <c r="U15" s="2">
        <v>3.2</v>
      </c>
      <c r="V15" s="2">
        <f t="shared" si="8"/>
        <v>0</v>
      </c>
      <c r="W15" s="2">
        <v>1</v>
      </c>
      <c r="X15" s="2">
        <v>1</v>
      </c>
      <c r="Y15" s="2">
        <v>24</v>
      </c>
      <c r="Z15" s="2">
        <f t="shared" si="5"/>
        <v>1</v>
      </c>
      <c r="AA15" s="2" t="s">
        <v>84</v>
      </c>
      <c r="AB15" s="2">
        <v>1</v>
      </c>
      <c r="AC15" s="2" t="s">
        <v>40</v>
      </c>
      <c r="AD15" s="2">
        <v>1</v>
      </c>
      <c r="AE15" s="2" t="s">
        <v>60</v>
      </c>
      <c r="AF15" s="2">
        <v>0</v>
      </c>
      <c r="AG15" s="2">
        <v>1</v>
      </c>
      <c r="AH15" s="2">
        <v>1</v>
      </c>
      <c r="AI15" s="2">
        <f t="shared" si="9"/>
        <v>66</v>
      </c>
      <c r="AJ15" s="2">
        <f t="shared" si="6"/>
        <v>0</v>
      </c>
      <c r="AK15" s="2">
        <v>0</v>
      </c>
      <c r="AL15" s="2">
        <v>0</v>
      </c>
      <c r="AM15" s="2">
        <v>1</v>
      </c>
      <c r="AN15" s="2">
        <v>1</v>
      </c>
      <c r="AO15" s="2" t="s">
        <v>42</v>
      </c>
      <c r="AP15" s="2">
        <v>0</v>
      </c>
    </row>
    <row r="16" spans="1:42" ht="13" x14ac:dyDescent="0.3">
      <c r="A16" s="1" t="s">
        <v>83</v>
      </c>
      <c r="B16" s="5">
        <v>30</v>
      </c>
      <c r="C16" s="2">
        <v>6.53</v>
      </c>
      <c r="D16" s="2">
        <v>0.73</v>
      </c>
      <c r="E16" s="2">
        <v>6.36</v>
      </c>
      <c r="F16" s="2">
        <v>0.82</v>
      </c>
      <c r="G16" s="4">
        <f t="shared" si="0"/>
        <v>-0.16999999999999993</v>
      </c>
      <c r="H16" s="8">
        <f t="shared" si="1"/>
        <v>0.20044118006703779</v>
      </c>
      <c r="I16" s="2">
        <v>30</v>
      </c>
      <c r="J16" s="2">
        <v>6.43</v>
      </c>
      <c r="K16" s="2">
        <v>0.81</v>
      </c>
      <c r="L16" s="2">
        <v>6.72</v>
      </c>
      <c r="M16" s="2">
        <v>0.77</v>
      </c>
      <c r="N16" s="5">
        <f t="shared" si="2"/>
        <v>0.29000000000000004</v>
      </c>
      <c r="O16" s="10">
        <f t="shared" si="3"/>
        <v>0.2040424792373719</v>
      </c>
      <c r="P16" s="2" t="s">
        <v>99</v>
      </c>
      <c r="Q16" s="2">
        <v>53.4</v>
      </c>
      <c r="R16" s="2">
        <f t="shared" si="4"/>
        <v>0</v>
      </c>
      <c r="S16" s="2">
        <v>24.2</v>
      </c>
      <c r="T16" s="2">
        <f t="shared" si="7"/>
        <v>0</v>
      </c>
      <c r="W16" s="2">
        <v>1</v>
      </c>
      <c r="X16" s="2">
        <v>1</v>
      </c>
      <c r="Y16" s="2">
        <v>12</v>
      </c>
      <c r="Z16" s="2">
        <f t="shared" si="5"/>
        <v>0</v>
      </c>
      <c r="AA16" s="2" t="s">
        <v>84</v>
      </c>
      <c r="AB16" s="2">
        <v>1</v>
      </c>
      <c r="AC16" s="2" t="s">
        <v>40</v>
      </c>
      <c r="AD16" s="2">
        <v>1</v>
      </c>
      <c r="AE16" s="2" t="s">
        <v>45</v>
      </c>
      <c r="AF16" s="2">
        <v>0</v>
      </c>
      <c r="AG16" s="2">
        <v>0</v>
      </c>
      <c r="AH16" s="2">
        <v>0</v>
      </c>
      <c r="AI16" s="2">
        <f t="shared" si="9"/>
        <v>60</v>
      </c>
      <c r="AJ16" s="2">
        <f t="shared" si="6"/>
        <v>0</v>
      </c>
      <c r="AK16" s="2">
        <v>1</v>
      </c>
      <c r="AL16" s="2">
        <v>1</v>
      </c>
      <c r="AM16" s="2">
        <v>0</v>
      </c>
      <c r="AN16" s="2">
        <v>0</v>
      </c>
      <c r="AO16" s="2" t="s">
        <v>51</v>
      </c>
      <c r="AP16" s="2">
        <v>2</v>
      </c>
    </row>
    <row r="17" spans="1:42" x14ac:dyDescent="0.25">
      <c r="A17" s="2" t="s">
        <v>97</v>
      </c>
      <c r="B17" s="2">
        <v>30</v>
      </c>
      <c r="C17" s="2">
        <v>5.51</v>
      </c>
      <c r="D17" s="2">
        <v>0.87</v>
      </c>
      <c r="E17" s="2">
        <v>5.61</v>
      </c>
      <c r="F17" s="2">
        <v>0.95</v>
      </c>
      <c r="G17" s="2">
        <f t="shared" si="0"/>
        <v>0.10000000000000053</v>
      </c>
      <c r="H17" s="9">
        <f t="shared" si="1"/>
        <v>0.2351878681678401</v>
      </c>
      <c r="I17" s="2">
        <v>30</v>
      </c>
      <c r="J17" s="2">
        <v>5.26</v>
      </c>
      <c r="K17" s="2">
        <v>0.83</v>
      </c>
      <c r="L17" s="2">
        <v>5.37</v>
      </c>
      <c r="M17" s="2">
        <v>0.94</v>
      </c>
      <c r="N17" s="2">
        <f t="shared" si="2"/>
        <v>0.11000000000000032</v>
      </c>
      <c r="O17" s="9">
        <f t="shared" si="3"/>
        <v>0.22894686428659963</v>
      </c>
      <c r="P17" s="2" t="s">
        <v>99</v>
      </c>
      <c r="Q17" s="2">
        <v>52.27</v>
      </c>
      <c r="R17" s="2">
        <f t="shared" si="4"/>
        <v>0</v>
      </c>
      <c r="S17" s="2">
        <v>22.63</v>
      </c>
      <c r="T17" s="2">
        <f t="shared" si="7"/>
        <v>0</v>
      </c>
      <c r="U17" s="2">
        <v>7.8</v>
      </c>
      <c r="V17" s="2">
        <f t="shared" si="8"/>
        <v>1</v>
      </c>
      <c r="W17" s="2">
        <v>0</v>
      </c>
      <c r="X17" s="2">
        <v>0</v>
      </c>
      <c r="Y17" s="2">
        <v>24</v>
      </c>
      <c r="Z17" s="2">
        <f t="shared" si="5"/>
        <v>1</v>
      </c>
      <c r="AA17" s="2" t="s">
        <v>80</v>
      </c>
      <c r="AB17" s="2">
        <v>1</v>
      </c>
      <c r="AC17" s="2" t="s">
        <v>79</v>
      </c>
      <c r="AD17" s="2">
        <v>1</v>
      </c>
      <c r="AE17" s="2" t="s">
        <v>47</v>
      </c>
      <c r="AF17" s="2">
        <v>0</v>
      </c>
      <c r="AG17" s="2">
        <v>1</v>
      </c>
      <c r="AH17" s="2">
        <v>1</v>
      </c>
      <c r="AI17" s="2">
        <v>90</v>
      </c>
      <c r="AJ17" s="2">
        <f t="shared" si="6"/>
        <v>1</v>
      </c>
      <c r="AK17" s="2">
        <v>0</v>
      </c>
      <c r="AL17" s="2">
        <v>0</v>
      </c>
      <c r="AM17" s="2">
        <v>0</v>
      </c>
      <c r="AN17" s="2">
        <v>0</v>
      </c>
      <c r="AO17" s="2" t="s">
        <v>46</v>
      </c>
      <c r="AP17" s="2">
        <v>1</v>
      </c>
    </row>
    <row r="18" spans="1:42" x14ac:dyDescent="0.25">
      <c r="A18" s="2" t="s">
        <v>56</v>
      </c>
      <c r="B18" s="2">
        <v>28</v>
      </c>
      <c r="C18" s="2">
        <v>4.83</v>
      </c>
      <c r="D18" s="2">
        <v>1.28</v>
      </c>
      <c r="E18" s="2">
        <v>4.58</v>
      </c>
      <c r="F18" s="2">
        <v>1.1000000000000001</v>
      </c>
      <c r="G18" s="2">
        <f t="shared" si="0"/>
        <v>-0.25</v>
      </c>
      <c r="H18" s="9">
        <f t="shared" si="1"/>
        <v>0.31894916746806451</v>
      </c>
      <c r="I18" s="2">
        <v>26</v>
      </c>
      <c r="J18" s="2">
        <v>4.92</v>
      </c>
      <c r="K18" s="2">
        <v>0.92</v>
      </c>
      <c r="L18" s="2">
        <v>4.8899999999999997</v>
      </c>
      <c r="M18" s="2">
        <v>1.06</v>
      </c>
      <c r="N18" s="2">
        <f t="shared" si="2"/>
        <v>-3.0000000000000249E-2</v>
      </c>
      <c r="O18" s="9">
        <f t="shared" si="3"/>
        <v>0.27526211284742907</v>
      </c>
      <c r="P18" s="2" t="s">
        <v>99</v>
      </c>
      <c r="Q18" s="2">
        <v>57.66</v>
      </c>
      <c r="R18" s="2">
        <f t="shared" si="4"/>
        <v>1</v>
      </c>
      <c r="S18" s="2">
        <v>31.06</v>
      </c>
      <c r="T18" s="2">
        <f t="shared" si="7"/>
        <v>1</v>
      </c>
      <c r="U18" s="2">
        <v>6.48</v>
      </c>
      <c r="V18" s="2">
        <f t="shared" si="8"/>
        <v>1</v>
      </c>
      <c r="W18" s="2">
        <v>1</v>
      </c>
      <c r="X18" s="2">
        <v>1</v>
      </c>
      <c r="Y18" s="2">
        <v>12</v>
      </c>
      <c r="Z18" s="2">
        <f t="shared" si="5"/>
        <v>0</v>
      </c>
      <c r="AA18" s="2" t="s">
        <v>44</v>
      </c>
      <c r="AB18" s="2">
        <v>5</v>
      </c>
      <c r="AC18" s="2" t="s">
        <v>40</v>
      </c>
      <c r="AD18" s="2">
        <v>1</v>
      </c>
      <c r="AE18" s="2" t="s">
        <v>57</v>
      </c>
      <c r="AF18" s="2">
        <v>0</v>
      </c>
      <c r="AG18" s="2">
        <v>0</v>
      </c>
      <c r="AH18" s="2">
        <v>0</v>
      </c>
      <c r="AI18" s="2">
        <f t="shared" ref="AI18:AI26" si="10">B18+I18</f>
        <v>54</v>
      </c>
      <c r="AJ18" s="2">
        <f t="shared" si="6"/>
        <v>0</v>
      </c>
      <c r="AK18" s="2">
        <v>0</v>
      </c>
      <c r="AL18" s="2">
        <v>0</v>
      </c>
      <c r="AM18" s="2">
        <v>1</v>
      </c>
      <c r="AN18" s="2">
        <v>1</v>
      </c>
      <c r="AO18" s="2" t="s">
        <v>51</v>
      </c>
      <c r="AP18" s="2">
        <v>2</v>
      </c>
    </row>
    <row r="19" spans="1:42" ht="13" x14ac:dyDescent="0.3">
      <c r="A19" s="1" t="s">
        <v>91</v>
      </c>
      <c r="B19" s="5">
        <v>28</v>
      </c>
      <c r="C19" s="2">
        <v>4.91</v>
      </c>
      <c r="D19" s="2">
        <v>0.53</v>
      </c>
      <c r="E19" s="2">
        <v>4.82</v>
      </c>
      <c r="F19" s="2">
        <v>0.53</v>
      </c>
      <c r="G19" s="4">
        <f t="shared" si="0"/>
        <v>-8.9999999999999858E-2</v>
      </c>
      <c r="H19" s="8">
        <f t="shared" si="1"/>
        <v>0.14164845821358493</v>
      </c>
      <c r="I19" s="2">
        <v>28</v>
      </c>
      <c r="J19" s="2">
        <v>4.91</v>
      </c>
      <c r="K19" s="2">
        <v>0.53</v>
      </c>
      <c r="L19" s="2">
        <v>5</v>
      </c>
      <c r="M19" s="2">
        <v>0.53</v>
      </c>
      <c r="N19" s="5">
        <f t="shared" si="2"/>
        <v>8.9999999999999858E-2</v>
      </c>
      <c r="O19" s="10">
        <f t="shared" si="3"/>
        <v>0.14164845821358493</v>
      </c>
      <c r="P19" s="2" t="s">
        <v>99</v>
      </c>
      <c r="Q19" s="2">
        <v>54.9</v>
      </c>
      <c r="R19" s="2">
        <f t="shared" si="4"/>
        <v>0</v>
      </c>
      <c r="S19" s="2">
        <v>24.6</v>
      </c>
      <c r="T19" s="2">
        <f t="shared" si="7"/>
        <v>0</v>
      </c>
      <c r="W19" s="2">
        <v>0</v>
      </c>
      <c r="X19" s="2">
        <v>0</v>
      </c>
      <c r="Y19" s="2">
        <v>6</v>
      </c>
      <c r="Z19" s="2">
        <f t="shared" si="5"/>
        <v>0</v>
      </c>
      <c r="AA19" s="2" t="s">
        <v>92</v>
      </c>
      <c r="AB19" s="2">
        <v>2</v>
      </c>
      <c r="AC19" s="2" t="s">
        <v>54</v>
      </c>
      <c r="AD19" s="2">
        <v>0</v>
      </c>
      <c r="AE19" s="2" t="s">
        <v>93</v>
      </c>
      <c r="AF19" s="2">
        <v>0</v>
      </c>
      <c r="AG19" s="2">
        <v>1</v>
      </c>
      <c r="AH19" s="2">
        <v>1</v>
      </c>
      <c r="AI19" s="2">
        <f t="shared" si="10"/>
        <v>56</v>
      </c>
      <c r="AJ19" s="2">
        <f t="shared" si="6"/>
        <v>0</v>
      </c>
      <c r="AK19" s="2">
        <v>0</v>
      </c>
      <c r="AL19" s="2">
        <v>0</v>
      </c>
      <c r="AM19" s="2">
        <v>0</v>
      </c>
      <c r="AN19" s="2">
        <v>0</v>
      </c>
      <c r="AO19" s="2" t="s">
        <v>46</v>
      </c>
      <c r="AP19" s="2">
        <v>1</v>
      </c>
    </row>
    <row r="20" spans="1:42" ht="13.5" customHeight="1" x14ac:dyDescent="0.3">
      <c r="A20" s="1" t="s">
        <v>43</v>
      </c>
      <c r="B20" s="5">
        <v>25</v>
      </c>
      <c r="C20" s="2">
        <v>5.95</v>
      </c>
      <c r="D20" s="2">
        <v>0.65</v>
      </c>
      <c r="E20" s="2">
        <v>5.19</v>
      </c>
      <c r="F20" s="2">
        <v>0.61</v>
      </c>
      <c r="G20" s="4">
        <f t="shared" si="0"/>
        <v>-0.75999999999999979</v>
      </c>
      <c r="H20" s="8">
        <f t="shared" si="1"/>
        <v>0.17828067758453242</v>
      </c>
      <c r="I20" s="2">
        <v>25</v>
      </c>
      <c r="J20" s="2">
        <v>6.03</v>
      </c>
      <c r="K20" s="2">
        <v>0.62</v>
      </c>
      <c r="L20" s="2">
        <v>5.81</v>
      </c>
      <c r="M20" s="2">
        <v>0.62</v>
      </c>
      <c r="N20" s="5">
        <f t="shared" si="2"/>
        <v>-0.22000000000000064</v>
      </c>
      <c r="O20" s="10">
        <f t="shared" si="3"/>
        <v>0.1753624817342638</v>
      </c>
      <c r="P20" s="2" t="s">
        <v>99</v>
      </c>
      <c r="Q20" s="2">
        <v>64.349999999999994</v>
      </c>
      <c r="R20" s="2">
        <f t="shared" si="4"/>
        <v>1</v>
      </c>
      <c r="S20" s="2">
        <v>28</v>
      </c>
      <c r="T20" s="2">
        <f t="shared" si="7"/>
        <v>1</v>
      </c>
      <c r="U20" s="2">
        <v>15.9</v>
      </c>
      <c r="V20" s="2">
        <f t="shared" si="8"/>
        <v>1</v>
      </c>
      <c r="W20" s="2">
        <v>0</v>
      </c>
      <c r="X20" s="2">
        <v>0</v>
      </c>
      <c r="Y20" s="2">
        <v>12</v>
      </c>
      <c r="Z20" s="2">
        <f t="shared" si="5"/>
        <v>0</v>
      </c>
      <c r="AA20" s="2" t="s">
        <v>44</v>
      </c>
      <c r="AB20" s="2">
        <v>5</v>
      </c>
      <c r="AC20" s="2" t="s">
        <v>40</v>
      </c>
      <c r="AD20" s="2">
        <v>1</v>
      </c>
      <c r="AE20" s="2" t="s">
        <v>45</v>
      </c>
      <c r="AF20" s="2">
        <v>0</v>
      </c>
      <c r="AG20" s="2">
        <v>0</v>
      </c>
      <c r="AH20" s="2">
        <v>0</v>
      </c>
      <c r="AI20" s="2">
        <f t="shared" si="10"/>
        <v>50</v>
      </c>
      <c r="AJ20" s="2">
        <f t="shared" si="6"/>
        <v>0</v>
      </c>
      <c r="AK20" s="2">
        <v>0</v>
      </c>
      <c r="AL20" s="2">
        <v>0</v>
      </c>
      <c r="AM20" s="2">
        <v>1</v>
      </c>
      <c r="AN20" s="2">
        <v>1</v>
      </c>
      <c r="AO20" s="2" t="s">
        <v>46</v>
      </c>
      <c r="AP20" s="2">
        <v>1</v>
      </c>
    </row>
    <row r="21" spans="1:42" ht="13" x14ac:dyDescent="0.3">
      <c r="A21" s="1" t="s">
        <v>43</v>
      </c>
      <c r="B21" s="5">
        <v>25</v>
      </c>
      <c r="C21" s="2">
        <v>5.93</v>
      </c>
      <c r="D21" s="2">
        <v>0.72</v>
      </c>
      <c r="E21" s="2">
        <v>5.31</v>
      </c>
      <c r="F21" s="2">
        <v>0.69</v>
      </c>
      <c r="G21" s="4">
        <f t="shared" si="0"/>
        <v>-0.62000000000000011</v>
      </c>
      <c r="H21" s="8">
        <f t="shared" si="1"/>
        <v>0.19944924166313593</v>
      </c>
      <c r="I21" s="2">
        <v>25</v>
      </c>
      <c r="J21" s="2">
        <v>6.03</v>
      </c>
      <c r="K21" s="2">
        <v>0.62</v>
      </c>
      <c r="L21" s="2">
        <v>5.74</v>
      </c>
      <c r="M21" s="2">
        <v>0.62</v>
      </c>
      <c r="N21" s="5">
        <f t="shared" si="2"/>
        <v>-0.29000000000000004</v>
      </c>
      <c r="O21" s="10">
        <f t="shared" si="3"/>
        <v>0.1753624817342638</v>
      </c>
      <c r="P21" s="2" t="s">
        <v>99</v>
      </c>
      <c r="Q21" s="2">
        <v>64.349999999999994</v>
      </c>
      <c r="R21" s="2">
        <f t="shared" si="4"/>
        <v>1</v>
      </c>
      <c r="S21" s="2">
        <v>28</v>
      </c>
      <c r="T21" s="2">
        <f t="shared" si="7"/>
        <v>1</v>
      </c>
      <c r="U21" s="2">
        <v>15.9</v>
      </c>
      <c r="V21" s="2">
        <f t="shared" si="8"/>
        <v>1</v>
      </c>
      <c r="W21" s="2">
        <v>0</v>
      </c>
      <c r="X21" s="2">
        <v>0</v>
      </c>
      <c r="Y21" s="2">
        <v>12</v>
      </c>
      <c r="Z21" s="2">
        <f t="shared" si="5"/>
        <v>0</v>
      </c>
      <c r="AA21" s="2" t="s">
        <v>44</v>
      </c>
      <c r="AB21" s="2">
        <v>5</v>
      </c>
      <c r="AC21" s="2" t="s">
        <v>40</v>
      </c>
      <c r="AD21" s="2">
        <v>1</v>
      </c>
      <c r="AE21" s="2" t="s">
        <v>41</v>
      </c>
      <c r="AF21" s="2">
        <v>0</v>
      </c>
      <c r="AG21" s="2">
        <v>0</v>
      </c>
      <c r="AH21" s="2">
        <v>0</v>
      </c>
      <c r="AI21" s="2">
        <f t="shared" si="10"/>
        <v>50</v>
      </c>
      <c r="AJ21" s="2">
        <f t="shared" si="6"/>
        <v>0</v>
      </c>
      <c r="AK21" s="2">
        <v>0</v>
      </c>
      <c r="AL21" s="2">
        <v>0</v>
      </c>
      <c r="AM21" s="2">
        <v>1</v>
      </c>
      <c r="AN21" s="2">
        <v>1</v>
      </c>
      <c r="AO21" s="2" t="s">
        <v>46</v>
      </c>
      <c r="AP21" s="2">
        <v>1</v>
      </c>
    </row>
    <row r="22" spans="1:42" ht="13" x14ac:dyDescent="0.3">
      <c r="A22" s="1" t="s">
        <v>72</v>
      </c>
      <c r="B22" s="5">
        <v>25</v>
      </c>
      <c r="C22" s="2">
        <v>4.95</v>
      </c>
      <c r="D22" s="2">
        <v>0.36</v>
      </c>
      <c r="E22" s="2">
        <v>4.3899999999999997</v>
      </c>
      <c r="F22" s="2">
        <v>0.35</v>
      </c>
      <c r="G22" s="4">
        <f t="shared" si="0"/>
        <v>-0.5600000000000005</v>
      </c>
      <c r="H22" s="8">
        <f t="shared" si="1"/>
        <v>0.10041912168506553</v>
      </c>
      <c r="I22" s="2">
        <v>25</v>
      </c>
      <c r="J22" s="2">
        <v>4.6900000000000004</v>
      </c>
      <c r="K22" s="2">
        <v>0.71</v>
      </c>
      <c r="L22" s="2">
        <v>4.66</v>
      </c>
      <c r="M22" s="2">
        <v>0.66</v>
      </c>
      <c r="N22" s="5">
        <f t="shared" si="2"/>
        <v>-3.0000000000000249E-2</v>
      </c>
      <c r="O22" s="10">
        <f t="shared" si="3"/>
        <v>0.19387624919004393</v>
      </c>
      <c r="P22" s="2" t="s">
        <v>99</v>
      </c>
      <c r="Q22" s="2">
        <v>51.1</v>
      </c>
      <c r="R22" s="2">
        <f t="shared" si="4"/>
        <v>0</v>
      </c>
      <c r="S22" s="2">
        <v>23.4</v>
      </c>
      <c r="T22" s="2">
        <f t="shared" si="7"/>
        <v>0</v>
      </c>
      <c r="U22" s="2">
        <v>2.5</v>
      </c>
      <c r="V22" s="2">
        <f t="shared" si="8"/>
        <v>0</v>
      </c>
      <c r="W22" s="2">
        <v>0</v>
      </c>
      <c r="X22" s="2">
        <v>0</v>
      </c>
      <c r="Y22" s="2">
        <v>12</v>
      </c>
      <c r="Z22" s="2">
        <f t="shared" si="5"/>
        <v>0</v>
      </c>
      <c r="AA22" s="2" t="s">
        <v>73</v>
      </c>
      <c r="AB22" s="2">
        <v>1</v>
      </c>
      <c r="AC22" s="2" t="s">
        <v>40</v>
      </c>
      <c r="AD22" s="2">
        <v>1</v>
      </c>
      <c r="AE22" s="2" t="s">
        <v>50</v>
      </c>
      <c r="AF22" s="2">
        <v>0</v>
      </c>
      <c r="AG22" s="2">
        <v>0</v>
      </c>
      <c r="AH22" s="2">
        <v>0</v>
      </c>
      <c r="AI22" s="2">
        <f t="shared" si="10"/>
        <v>50</v>
      </c>
      <c r="AJ22" s="2">
        <f t="shared" si="6"/>
        <v>0</v>
      </c>
      <c r="AK22" s="2">
        <v>0</v>
      </c>
      <c r="AL22" s="2">
        <v>0</v>
      </c>
      <c r="AM22" s="2">
        <v>0</v>
      </c>
      <c r="AN22" s="2">
        <v>0</v>
      </c>
      <c r="AO22" s="2" t="s">
        <v>46</v>
      </c>
      <c r="AP22" s="2">
        <v>1</v>
      </c>
    </row>
    <row r="23" spans="1:42" ht="13" x14ac:dyDescent="0.3">
      <c r="A23" s="1" t="s">
        <v>72</v>
      </c>
      <c r="B23" s="5">
        <v>25</v>
      </c>
      <c r="C23" s="2">
        <v>4.8</v>
      </c>
      <c r="D23" s="2">
        <v>0.52</v>
      </c>
      <c r="E23" s="2">
        <v>4.87</v>
      </c>
      <c r="F23" s="2">
        <v>0.63</v>
      </c>
      <c r="G23" s="4">
        <f t="shared" si="0"/>
        <v>7.0000000000000284E-2</v>
      </c>
      <c r="H23" s="8">
        <f t="shared" si="1"/>
        <v>0.1633768649472746</v>
      </c>
      <c r="I23" s="2">
        <v>25</v>
      </c>
      <c r="J23" s="2">
        <v>4.6900000000000004</v>
      </c>
      <c r="K23" s="2">
        <v>0.71</v>
      </c>
      <c r="L23" s="2">
        <v>4.66</v>
      </c>
      <c r="M23" s="2">
        <v>0.66</v>
      </c>
      <c r="N23" s="5">
        <f t="shared" si="2"/>
        <v>-3.0000000000000249E-2</v>
      </c>
      <c r="O23" s="10">
        <f t="shared" si="3"/>
        <v>0.19387624919004393</v>
      </c>
      <c r="P23" s="2" t="s">
        <v>99</v>
      </c>
      <c r="Q23" s="2">
        <v>51.1</v>
      </c>
      <c r="R23" s="2">
        <f t="shared" si="4"/>
        <v>0</v>
      </c>
      <c r="S23" s="2">
        <v>23.4</v>
      </c>
      <c r="T23" s="2">
        <f t="shared" si="7"/>
        <v>0</v>
      </c>
      <c r="U23" s="2">
        <v>2.5</v>
      </c>
      <c r="V23" s="2">
        <f t="shared" si="8"/>
        <v>0</v>
      </c>
      <c r="W23" s="2">
        <v>0</v>
      </c>
      <c r="X23" s="2">
        <v>0</v>
      </c>
      <c r="Y23" s="2">
        <v>12</v>
      </c>
      <c r="Z23" s="2">
        <f t="shared" si="5"/>
        <v>0</v>
      </c>
      <c r="AA23" s="2" t="s">
        <v>73</v>
      </c>
      <c r="AB23" s="2">
        <v>1</v>
      </c>
      <c r="AC23" s="2" t="s">
        <v>40</v>
      </c>
      <c r="AD23" s="2">
        <v>1</v>
      </c>
      <c r="AE23" s="2" t="s">
        <v>66</v>
      </c>
      <c r="AF23" s="2">
        <v>0</v>
      </c>
      <c r="AG23" s="2">
        <v>0</v>
      </c>
      <c r="AH23" s="2">
        <v>0</v>
      </c>
      <c r="AI23" s="2">
        <f t="shared" si="10"/>
        <v>50</v>
      </c>
      <c r="AJ23" s="2">
        <f t="shared" si="6"/>
        <v>0</v>
      </c>
      <c r="AK23" s="2">
        <v>0</v>
      </c>
      <c r="AL23" s="2">
        <v>0</v>
      </c>
      <c r="AM23" s="2">
        <v>0</v>
      </c>
      <c r="AN23" s="2">
        <v>0</v>
      </c>
      <c r="AO23" s="2" t="s">
        <v>46</v>
      </c>
      <c r="AP23" s="2">
        <v>1</v>
      </c>
    </row>
    <row r="24" spans="1:42" ht="13" x14ac:dyDescent="0.3">
      <c r="A24" s="1" t="s">
        <v>90</v>
      </c>
      <c r="B24" s="5">
        <v>25</v>
      </c>
      <c r="C24" s="2">
        <v>5.3</v>
      </c>
      <c r="D24" s="2">
        <v>0.9</v>
      </c>
      <c r="E24" s="2">
        <v>5.19</v>
      </c>
      <c r="F24" s="2">
        <v>1.1000000000000001</v>
      </c>
      <c r="G24" s="4">
        <f t="shared" si="0"/>
        <v>-0.10999999999999943</v>
      </c>
      <c r="H24" s="8">
        <f t="shared" si="1"/>
        <v>0.28425340807103794</v>
      </c>
      <c r="I24" s="2">
        <v>22</v>
      </c>
      <c r="J24" s="2">
        <v>5.77</v>
      </c>
      <c r="K24" s="2">
        <v>1.52</v>
      </c>
      <c r="L24" s="2">
        <v>5.67</v>
      </c>
      <c r="M24" s="2">
        <v>1.27</v>
      </c>
      <c r="N24" s="5">
        <f t="shared" si="2"/>
        <v>-9.9999999999999645E-2</v>
      </c>
      <c r="O24" s="10">
        <f t="shared" si="3"/>
        <v>0.42229352135904025</v>
      </c>
      <c r="P24" s="2" t="s">
        <v>99</v>
      </c>
      <c r="Q24" s="2">
        <v>55.7</v>
      </c>
      <c r="R24" s="2">
        <f t="shared" si="4"/>
        <v>1</v>
      </c>
      <c r="S24" s="2">
        <v>26.5</v>
      </c>
      <c r="T24" s="2">
        <f t="shared" si="7"/>
        <v>1</v>
      </c>
      <c r="U24" s="2">
        <v>7.9</v>
      </c>
      <c r="V24" s="2">
        <f t="shared" si="8"/>
        <v>1</v>
      </c>
      <c r="W24" s="2">
        <v>0</v>
      </c>
      <c r="X24" s="2">
        <v>0</v>
      </c>
      <c r="Y24" s="2">
        <v>24</v>
      </c>
      <c r="Z24" s="2">
        <f t="shared" si="5"/>
        <v>1</v>
      </c>
      <c r="AA24" s="2" t="s">
        <v>85</v>
      </c>
      <c r="AB24" s="2">
        <v>4</v>
      </c>
      <c r="AC24" s="2" t="s">
        <v>40</v>
      </c>
      <c r="AD24" s="2">
        <v>1</v>
      </c>
      <c r="AE24" s="2" t="s">
        <v>74</v>
      </c>
      <c r="AF24" s="2">
        <v>0</v>
      </c>
      <c r="AG24" s="2">
        <v>1</v>
      </c>
      <c r="AH24" s="2">
        <v>1</v>
      </c>
      <c r="AI24" s="2">
        <f t="shared" si="10"/>
        <v>47</v>
      </c>
      <c r="AJ24" s="2">
        <f t="shared" si="6"/>
        <v>0</v>
      </c>
      <c r="AK24" s="2">
        <v>0</v>
      </c>
      <c r="AL24" s="2">
        <v>0</v>
      </c>
      <c r="AM24" s="2">
        <v>1</v>
      </c>
      <c r="AN24" s="2">
        <v>1</v>
      </c>
      <c r="AO24" s="2" t="s">
        <v>42</v>
      </c>
      <c r="AP24" s="2">
        <v>0</v>
      </c>
    </row>
    <row r="25" spans="1:42" ht="13" x14ac:dyDescent="0.3">
      <c r="A25" s="1" t="s">
        <v>52</v>
      </c>
      <c r="B25" s="5">
        <v>24</v>
      </c>
      <c r="C25" s="2">
        <v>6.99</v>
      </c>
      <c r="D25" s="2">
        <v>0.82</v>
      </c>
      <c r="E25" s="2">
        <v>6.25</v>
      </c>
      <c r="F25" s="2">
        <v>0.93</v>
      </c>
      <c r="G25" s="4">
        <f t="shared" si="0"/>
        <v>-0.74000000000000021</v>
      </c>
      <c r="H25" s="8">
        <f t="shared" si="1"/>
        <v>0.25308924644612357</v>
      </c>
      <c r="I25" s="2">
        <v>24</v>
      </c>
      <c r="J25" s="2">
        <v>6.99</v>
      </c>
      <c r="K25" s="2">
        <v>0.82</v>
      </c>
      <c r="L25" s="2">
        <v>6.18</v>
      </c>
      <c r="M25" s="2">
        <v>0.83</v>
      </c>
      <c r="N25" s="5">
        <f t="shared" si="2"/>
        <v>-0.8100000000000005</v>
      </c>
      <c r="O25" s="10">
        <f t="shared" si="3"/>
        <v>0.23816135986623299</v>
      </c>
      <c r="P25" s="2" t="s">
        <v>99</v>
      </c>
      <c r="Q25" s="2">
        <v>55</v>
      </c>
      <c r="R25" s="2">
        <f t="shared" si="4"/>
        <v>0</v>
      </c>
      <c r="W25" s="2">
        <v>0</v>
      </c>
      <c r="X25" s="2">
        <v>0</v>
      </c>
      <c r="Y25" s="2">
        <v>6</v>
      </c>
      <c r="Z25" s="2">
        <f t="shared" si="5"/>
        <v>0</v>
      </c>
      <c r="AA25" s="2" t="s">
        <v>53</v>
      </c>
      <c r="AB25" s="2">
        <v>5</v>
      </c>
      <c r="AC25" s="2" t="s">
        <v>54</v>
      </c>
      <c r="AD25" s="2">
        <v>0</v>
      </c>
      <c r="AE25" s="2" t="s">
        <v>55</v>
      </c>
      <c r="AF25" s="2">
        <v>0</v>
      </c>
      <c r="AG25" s="2">
        <v>1</v>
      </c>
      <c r="AH25" s="2">
        <v>1</v>
      </c>
      <c r="AI25" s="2">
        <f t="shared" si="10"/>
        <v>48</v>
      </c>
      <c r="AJ25" s="2">
        <f t="shared" si="6"/>
        <v>0</v>
      </c>
      <c r="AK25" s="2">
        <v>1</v>
      </c>
      <c r="AL25" s="2">
        <v>1</v>
      </c>
      <c r="AM25" s="2">
        <v>1</v>
      </c>
      <c r="AN25" s="2">
        <v>1</v>
      </c>
      <c r="AO25" s="2" t="s">
        <v>42</v>
      </c>
      <c r="AP25" s="2">
        <v>0</v>
      </c>
    </row>
    <row r="26" spans="1:42" ht="13" x14ac:dyDescent="0.3">
      <c r="A26" s="1" t="s">
        <v>61</v>
      </c>
      <c r="B26" s="5">
        <v>23</v>
      </c>
      <c r="C26" s="2">
        <v>5.4</v>
      </c>
      <c r="D26" s="2">
        <v>0.88</v>
      </c>
      <c r="E26" s="2">
        <v>5.32</v>
      </c>
      <c r="F26" s="2">
        <v>0.7</v>
      </c>
      <c r="G26" s="4">
        <f t="shared" si="0"/>
        <v>-8.0000000000000071E-2</v>
      </c>
      <c r="H26" s="8">
        <f t="shared" si="1"/>
        <v>0.23446516381645752</v>
      </c>
      <c r="I26" s="2">
        <v>22</v>
      </c>
      <c r="J26" s="2">
        <v>5.58</v>
      </c>
      <c r="K26" s="2">
        <v>0.86</v>
      </c>
      <c r="L26" s="2">
        <v>5.64</v>
      </c>
      <c r="M26" s="2">
        <v>0.78</v>
      </c>
      <c r="N26" s="5">
        <f t="shared" si="2"/>
        <v>5.9999999999999609E-2</v>
      </c>
      <c r="O26" s="10">
        <f t="shared" si="3"/>
        <v>0.24753328518146256</v>
      </c>
      <c r="P26" s="2" t="s">
        <v>99</v>
      </c>
      <c r="Q26" s="2">
        <v>58.5</v>
      </c>
      <c r="R26" s="2">
        <f t="shared" si="4"/>
        <v>1</v>
      </c>
      <c r="S26" s="2">
        <v>30.1</v>
      </c>
      <c r="T26" s="2">
        <f t="shared" si="7"/>
        <v>1</v>
      </c>
      <c r="U26" s="2">
        <v>9.5</v>
      </c>
      <c r="V26" s="2">
        <f t="shared" si="8"/>
        <v>1</v>
      </c>
      <c r="W26" s="2">
        <v>1</v>
      </c>
      <c r="X26" s="2">
        <v>1</v>
      </c>
      <c r="Y26" s="2">
        <v>24</v>
      </c>
      <c r="Z26" s="2">
        <f t="shared" si="5"/>
        <v>1</v>
      </c>
      <c r="AA26" s="2" t="s">
        <v>39</v>
      </c>
      <c r="AB26" s="2">
        <v>2</v>
      </c>
      <c r="AC26" s="2" t="s">
        <v>40</v>
      </c>
      <c r="AD26" s="2">
        <v>1</v>
      </c>
      <c r="AE26" s="2" t="s">
        <v>38</v>
      </c>
      <c r="AF26" s="2">
        <v>0</v>
      </c>
      <c r="AG26" s="2">
        <v>1</v>
      </c>
      <c r="AH26" s="2">
        <v>1</v>
      </c>
      <c r="AI26" s="2">
        <f t="shared" si="10"/>
        <v>45</v>
      </c>
      <c r="AJ26" s="2">
        <f t="shared" si="6"/>
        <v>0</v>
      </c>
      <c r="AK26" s="2">
        <v>0</v>
      </c>
      <c r="AL26" s="2">
        <v>0</v>
      </c>
      <c r="AM26" s="2">
        <v>1</v>
      </c>
      <c r="AN26" s="2">
        <v>1</v>
      </c>
      <c r="AO26" s="2" t="s">
        <v>42</v>
      </c>
      <c r="AP26" s="2">
        <v>0</v>
      </c>
    </row>
  </sheetData>
  <sortState xmlns:xlrd2="http://schemas.microsoft.com/office/spreadsheetml/2017/richdata2" ref="A2:AP26">
    <sortCondition descending="1" ref="B2"/>
  </sortState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Total cholesterol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Glisic Marija</dc:creator>
  <cp:lastModifiedBy>Honoria Ocagli</cp:lastModifiedBy>
  <dcterms:created xsi:type="dcterms:W3CDTF">2023-06-09T09:28:07Z</dcterms:created>
  <dcterms:modified xsi:type="dcterms:W3CDTF">2026-06-20T20:45:41Z</dcterms:modified>
</cp:coreProperties>
</file>