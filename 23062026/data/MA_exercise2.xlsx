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m18h842\Desktop\Desktop_Lap_Top_New\CMH Group\Epistudia\Meta-analysis material\Meta-analysis\Exercise\Module 8 Run heterogeniety analysis and publication bias\"/>
    </mc:Choice>
  </mc:AlternateContent>
  <xr:revisionPtr revIDLastSave="0" documentId="8_{CE6C87FA-3C14-4113-A685-890ECF80036F}" xr6:coauthVersionLast="47" xr6:coauthVersionMax="47" xr10:uidLastSave="{00000000-0000-0000-0000-000000000000}"/>
  <bookViews>
    <workbookView xWindow="990" yWindow="1560" windowWidth="27810" windowHeight="7320" xr2:uid="{9F72746A-516D-4CBB-8E1F-F3CB334F53F6}"/>
  </bookViews>
  <sheets>
    <sheet name="Total cholestero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42" i="1" l="1"/>
  <c r="U42" i="1"/>
  <c r="S42" i="1"/>
  <c r="Q42" i="1"/>
  <c r="O40" i="1"/>
  <c r="N40" i="1"/>
  <c r="H40" i="1"/>
  <c r="G40" i="1"/>
  <c r="AI39" i="1"/>
  <c r="O39" i="1"/>
  <c r="N39" i="1"/>
  <c r="H39" i="1"/>
  <c r="G39" i="1"/>
  <c r="O38" i="1"/>
  <c r="N38" i="1"/>
  <c r="H38" i="1"/>
  <c r="G38" i="1"/>
  <c r="AI37" i="1"/>
  <c r="O37" i="1"/>
  <c r="N37" i="1"/>
  <c r="H37" i="1"/>
  <c r="G37" i="1"/>
  <c r="AI36" i="1"/>
  <c r="O36" i="1"/>
  <c r="N36" i="1"/>
  <c r="H36" i="1"/>
  <c r="G36" i="1"/>
  <c r="AI35" i="1"/>
  <c r="O35" i="1"/>
  <c r="N35" i="1"/>
  <c r="H35" i="1"/>
  <c r="G35" i="1"/>
  <c r="AI34" i="1"/>
  <c r="O34" i="1"/>
  <c r="N34" i="1"/>
  <c r="H34" i="1"/>
  <c r="G34" i="1"/>
  <c r="AI33" i="1"/>
  <c r="O33" i="1"/>
  <c r="N33" i="1"/>
  <c r="H33" i="1"/>
  <c r="G33" i="1"/>
  <c r="AI32" i="1"/>
  <c r="O32" i="1"/>
  <c r="N32" i="1"/>
  <c r="H32" i="1"/>
  <c r="G32" i="1"/>
  <c r="AI31" i="1"/>
  <c r="O31" i="1"/>
  <c r="N31" i="1"/>
  <c r="H31" i="1"/>
  <c r="G31" i="1"/>
  <c r="AI30" i="1"/>
  <c r="O30" i="1"/>
  <c r="N30" i="1"/>
  <c r="H30" i="1"/>
  <c r="G30" i="1"/>
  <c r="AI29" i="1"/>
  <c r="O29" i="1"/>
  <c r="N29" i="1"/>
  <c r="H29" i="1"/>
  <c r="G29" i="1"/>
  <c r="AI28" i="1"/>
  <c r="O28" i="1"/>
  <c r="N28" i="1"/>
  <c r="H28" i="1"/>
  <c r="G28" i="1"/>
  <c r="AI27" i="1"/>
  <c r="O27" i="1"/>
  <c r="N27" i="1"/>
  <c r="H27" i="1"/>
  <c r="G27" i="1"/>
  <c r="AI26" i="1"/>
  <c r="O26" i="1"/>
  <c r="N26" i="1"/>
  <c r="H26" i="1"/>
  <c r="G26" i="1"/>
  <c r="AI25" i="1"/>
  <c r="O25" i="1"/>
  <c r="N25" i="1"/>
  <c r="H25" i="1"/>
  <c r="G25" i="1"/>
  <c r="AI24" i="1"/>
  <c r="O24" i="1"/>
  <c r="N24" i="1"/>
  <c r="H24" i="1"/>
  <c r="G24" i="1"/>
  <c r="AI23" i="1"/>
  <c r="O23" i="1"/>
  <c r="N23" i="1"/>
  <c r="H23" i="1"/>
  <c r="G23" i="1"/>
  <c r="AI22" i="1"/>
  <c r="O22" i="1"/>
  <c r="N22" i="1"/>
  <c r="H22" i="1"/>
  <c r="G22" i="1"/>
  <c r="AI21" i="1"/>
  <c r="O21" i="1"/>
  <c r="N21" i="1"/>
  <c r="H21" i="1"/>
  <c r="G21" i="1"/>
  <c r="AI20" i="1"/>
  <c r="O20" i="1"/>
  <c r="N20" i="1"/>
  <c r="H20" i="1"/>
  <c r="G20" i="1"/>
  <c r="AI19" i="1"/>
  <c r="O19" i="1"/>
  <c r="N19" i="1"/>
  <c r="H19" i="1"/>
  <c r="G19" i="1"/>
  <c r="AI18" i="1"/>
  <c r="O18" i="1"/>
  <c r="N18" i="1"/>
  <c r="H18" i="1"/>
  <c r="G18" i="1"/>
  <c r="AI17" i="1"/>
  <c r="O17" i="1"/>
  <c r="N17" i="1"/>
  <c r="H17" i="1"/>
  <c r="G17" i="1"/>
  <c r="AI16" i="1"/>
  <c r="O16" i="1"/>
  <c r="N16" i="1"/>
  <c r="H16" i="1"/>
  <c r="G16" i="1"/>
  <c r="AI15" i="1"/>
  <c r="O15" i="1"/>
  <c r="N15" i="1"/>
  <c r="H15" i="1"/>
  <c r="G15" i="1"/>
  <c r="AI14" i="1"/>
  <c r="O14" i="1"/>
  <c r="N14" i="1"/>
  <c r="H14" i="1"/>
  <c r="G14" i="1"/>
  <c r="AI13" i="1"/>
  <c r="O13" i="1"/>
  <c r="N13" i="1"/>
  <c r="H13" i="1"/>
  <c r="G13" i="1"/>
  <c r="AI12" i="1"/>
  <c r="O12" i="1"/>
  <c r="N12" i="1"/>
  <c r="H12" i="1"/>
  <c r="G12" i="1"/>
  <c r="AI11" i="1"/>
  <c r="O11" i="1"/>
  <c r="N11" i="1"/>
  <c r="H11" i="1"/>
  <c r="G11" i="1"/>
  <c r="AI10" i="1"/>
  <c r="O10" i="1"/>
  <c r="N10" i="1"/>
  <c r="H10" i="1"/>
  <c r="G10" i="1"/>
  <c r="AI9" i="1"/>
  <c r="O9" i="1"/>
  <c r="N9" i="1"/>
  <c r="H9" i="1"/>
  <c r="G9" i="1"/>
  <c r="AI8" i="1"/>
  <c r="O8" i="1"/>
  <c r="N8" i="1"/>
  <c r="H8" i="1"/>
  <c r="G8" i="1"/>
  <c r="AI7" i="1"/>
  <c r="O7" i="1"/>
  <c r="N7" i="1"/>
  <c r="H7" i="1"/>
  <c r="G7" i="1"/>
  <c r="AI6" i="1"/>
  <c r="O6" i="1"/>
  <c r="N6" i="1"/>
  <c r="H6" i="1"/>
  <c r="G6" i="1"/>
  <c r="O5" i="1"/>
  <c r="N5" i="1"/>
  <c r="H5" i="1"/>
  <c r="G5" i="1"/>
  <c r="AI4" i="1"/>
  <c r="O4" i="1"/>
  <c r="N4" i="1"/>
  <c r="H4" i="1"/>
  <c r="G4" i="1"/>
  <c r="AI3" i="1"/>
  <c r="O3" i="1"/>
  <c r="N3" i="1"/>
  <c r="H3" i="1"/>
  <c r="G3" i="1"/>
  <c r="AI2" i="1"/>
  <c r="AI42" i="1" s="1"/>
  <c r="O2" i="1"/>
  <c r="N2" i="1"/>
  <c r="H2" i="1"/>
  <c r="G2" i="1"/>
</calcChain>
</file>

<file path=xl/sharedStrings.xml><?xml version="1.0" encoding="utf-8"?>
<sst xmlns="http://schemas.openxmlformats.org/spreadsheetml/2006/main" count="278" uniqueCount="131">
  <si>
    <t>Author, Year of Publication</t>
  </si>
  <si>
    <t>n_int</t>
  </si>
  <si>
    <t>int_base_mean</t>
  </si>
  <si>
    <t>int_base_sd</t>
  </si>
  <si>
    <t>int_final_mean</t>
  </si>
  <si>
    <t>int_final_sd</t>
  </si>
  <si>
    <t>int_mean_diff</t>
  </si>
  <si>
    <t>int_sd_diff</t>
  </si>
  <si>
    <t>n_control</t>
  </si>
  <si>
    <t>cont_base_mean</t>
  </si>
  <si>
    <t>cont_base_sd</t>
  </si>
  <si>
    <t>cont_final_mean</t>
  </si>
  <si>
    <t>cont_final_sd</t>
  </si>
  <si>
    <t>cont_mean_diff</t>
  </si>
  <si>
    <t>cont_sd_diff</t>
  </si>
  <si>
    <t>Stratum1</t>
  </si>
  <si>
    <t>Stratum2</t>
  </si>
  <si>
    <t>Stratum3</t>
  </si>
  <si>
    <t>pills1dietary0</t>
  </si>
  <si>
    <t>Stratum4</t>
  </si>
  <si>
    <t>duration12</t>
  </si>
  <si>
    <t>Stratum5</t>
  </si>
  <si>
    <t>location</t>
  </si>
  <si>
    <t>Stratum6</t>
  </si>
  <si>
    <t>study design</t>
  </si>
  <si>
    <t>Stratum7</t>
  </si>
  <si>
    <t>type</t>
  </si>
  <si>
    <t>Stratum8</t>
  </si>
  <si>
    <t>healthy1</t>
  </si>
  <si>
    <t>Stratum9</t>
  </si>
  <si>
    <t>participants50</t>
  </si>
  <si>
    <t>Stratum10</t>
  </si>
  <si>
    <t>hypercholestero1</t>
  </si>
  <si>
    <t>Stratum11</t>
  </si>
  <si>
    <t>nonsmok1</t>
  </si>
  <si>
    <t>Stratum12</t>
  </si>
  <si>
    <t>study quality</t>
  </si>
  <si>
    <t>Stratum13</t>
  </si>
  <si>
    <t>Aubertin et al, 2007</t>
  </si>
  <si>
    <t>soy iso</t>
  </si>
  <si>
    <t>Canada</t>
  </si>
  <si>
    <t>P</t>
  </si>
  <si>
    <t>Isof</t>
  </si>
  <si>
    <t>poor</t>
  </si>
  <si>
    <t>Bakhtiary et al, 2011</t>
  </si>
  <si>
    <t>Iran</t>
  </si>
  <si>
    <t>soy</t>
  </si>
  <si>
    <t>fair</t>
  </si>
  <si>
    <t>Barrasa at al, 2018</t>
  </si>
  <si>
    <t>Chile</t>
  </si>
  <si>
    <t>soy and iso</t>
  </si>
  <si>
    <t>Basaria et al, 2009</t>
  </si>
  <si>
    <t>USA</t>
  </si>
  <si>
    <t>soy protein</t>
  </si>
  <si>
    <t xml:space="preserve">good </t>
  </si>
  <si>
    <t>Beavers et al, 2010</t>
  </si>
  <si>
    <t>soy milk</t>
  </si>
  <si>
    <t>Blum et al, 2003</t>
  </si>
  <si>
    <t>Israel</t>
  </si>
  <si>
    <t>CO</t>
  </si>
  <si>
    <t>isof</t>
  </si>
  <si>
    <t>Braxas et al, 2019</t>
  </si>
  <si>
    <t>genistein</t>
  </si>
  <si>
    <t>Campbell et al, 2010</t>
  </si>
  <si>
    <t>soya snack</t>
  </si>
  <si>
    <t>isofla</t>
  </si>
  <si>
    <t>Choquette et al, 2011</t>
  </si>
  <si>
    <t>Curtis et al, 2012</t>
  </si>
  <si>
    <t>UK</t>
  </si>
  <si>
    <t>Dewell et al, 2002</t>
  </si>
  <si>
    <t>soy derived iso</t>
  </si>
  <si>
    <t>Dodin et al, 2005</t>
  </si>
  <si>
    <t>lignan</t>
  </si>
  <si>
    <t>Garrido et al, 2006</t>
  </si>
  <si>
    <t>isoflav</t>
  </si>
  <si>
    <t>Hall et al, 2005</t>
  </si>
  <si>
    <t>Europe</t>
  </si>
  <si>
    <t>Hidalgo et al, 2005</t>
  </si>
  <si>
    <t>Ecuador</t>
  </si>
  <si>
    <t>red clover iso</t>
  </si>
  <si>
    <t>Australia</t>
  </si>
  <si>
    <t>Jassi et al,2010</t>
  </si>
  <si>
    <t>India</t>
  </si>
  <si>
    <t>Katz et al, 2007</t>
  </si>
  <si>
    <t>iso</t>
  </si>
  <si>
    <t>Kim et al, 2013</t>
  </si>
  <si>
    <t>Korea</t>
  </si>
  <si>
    <t>Liu et al, 2013</t>
  </si>
  <si>
    <t xml:space="preserve">China </t>
  </si>
  <si>
    <t>p</t>
  </si>
  <si>
    <t>China</t>
  </si>
  <si>
    <t>Liu et al, 2014</t>
  </si>
  <si>
    <t>Whole soy</t>
  </si>
  <si>
    <t>Ma et al, 2013</t>
  </si>
  <si>
    <t>Japan</t>
  </si>
  <si>
    <t>Maesta et al, 2007</t>
  </si>
  <si>
    <t>Brazil</t>
  </si>
  <si>
    <t>soy protein iso</t>
  </si>
  <si>
    <t>Nahas et al, 2007</t>
  </si>
  <si>
    <t>Nestel et al, 1999</t>
  </si>
  <si>
    <t>Nikander et al, 2003</t>
  </si>
  <si>
    <t>Finnland</t>
  </si>
  <si>
    <t>Iso</t>
  </si>
  <si>
    <t>Rios et al, 2008</t>
  </si>
  <si>
    <t>Shidfar et al, 2009</t>
  </si>
  <si>
    <t>Steinberg et al, 2003</t>
  </si>
  <si>
    <t>usa</t>
  </si>
  <si>
    <t>Iso soy protein</t>
  </si>
  <si>
    <t>Teede et al,2005</t>
  </si>
  <si>
    <t>australia</t>
  </si>
  <si>
    <t>soy protein isolate</t>
  </si>
  <si>
    <t>Terzic et al, 2012</t>
  </si>
  <si>
    <t>serbia</t>
  </si>
  <si>
    <t>Soy iso</t>
  </si>
  <si>
    <t>Turhan et al, 2008</t>
  </si>
  <si>
    <t>Turkey</t>
  </si>
  <si>
    <t>Wangen et al, 2001</t>
  </si>
  <si>
    <t>Isofl</t>
  </si>
  <si>
    <t>Wu J. et al, 2006</t>
  </si>
  <si>
    <t xml:space="preserve">Wu WH. et al, 2006 </t>
  </si>
  <si>
    <t>Taiwan</t>
  </si>
  <si>
    <t>lignans</t>
  </si>
  <si>
    <t>Ye at al, 2012</t>
  </si>
  <si>
    <t>Yildiz et al, 2005</t>
  </si>
  <si>
    <t>Zhang et al, 2019</t>
  </si>
  <si>
    <t>Toal cholesterol</t>
  </si>
  <si>
    <t>Outcome</t>
  </si>
  <si>
    <t>Age</t>
  </si>
  <si>
    <t xml:space="preserve">median </t>
  </si>
  <si>
    <t>BMI</t>
  </si>
  <si>
    <t>Age at menopause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</si>
</sst>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11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1" applyFont="1" applyAlignment="1">
      <alignment horizontal="left"/>
    </xf>
    <xf numFmtId="0" fontId="2" fillId="0" borderId="0" xfId="2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2" fillId="0" borderId="0" xfId="2" applyNumberFormat="1" applyFont="1" applyAlignment="1">
      <alignment horizontal="left" vertical="top" wrapText="1"/>
    </xf>
    <xf numFmtId="2" fontId="2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left" vertical="top"/>
    </xf>
  </cellXfs>
  <cellStyles count="3">
    <cellStyle name="Normal" xfId="0" builtinId="0"/>
    <cellStyle name="Normal 2" xfId="1" xr:uid="{CBB6C1A0-D0DC-4142-970E-8E1591963F84}"/>
    <cellStyle name="Normal 3" xfId="2" xr:uid="{DBA7E60C-FAD1-4031-A6C9-070050B857F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C1A84-028E-4647-B208-F9ABFA114852}">
  <dimension ref="A1:AQ42"/>
  <sheetViews>
    <sheetView tabSelected="1" topLeftCell="A27" workbookViewId="0">
      <selection activeCell="O2" sqref="O2"/>
    </sheetView>
  </sheetViews>
  <sheetFormatPr defaultColWidth="11.42578125" defaultRowHeight="11.25" x14ac:dyDescent="0.2"/>
  <cols>
    <col min="1" max="1" width="35" style="2" customWidth="1"/>
    <col min="2" max="2" width="9.5703125" style="2" customWidth="1"/>
    <col min="3" max="15" width="11.42578125" style="2"/>
    <col min="16" max="16" width="21.140625" style="2" customWidth="1"/>
    <col min="17" max="20" width="11.42578125" style="2"/>
    <col min="21" max="21" width="15.85546875" style="2" customWidth="1"/>
    <col min="22" max="30" width="11.42578125" style="2"/>
    <col min="31" max="31" width="16.85546875" style="2" customWidth="1"/>
    <col min="32" max="36" width="11.42578125" style="2"/>
    <col min="37" max="37" width="13.7109375" style="2" customWidth="1"/>
    <col min="38" max="16384" width="11.42578125" style="2"/>
  </cols>
  <sheetData>
    <row r="1" spans="1:43" ht="12.75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126</v>
      </c>
      <c r="Q1" s="3" t="s">
        <v>127</v>
      </c>
      <c r="R1" s="3" t="s">
        <v>15</v>
      </c>
      <c r="S1" s="3" t="s">
        <v>129</v>
      </c>
      <c r="T1" s="3" t="s">
        <v>16</v>
      </c>
      <c r="U1" s="3" t="s">
        <v>130</v>
      </c>
      <c r="V1" s="3" t="s">
        <v>17</v>
      </c>
      <c r="W1" s="3" t="s">
        <v>18</v>
      </c>
      <c r="X1" s="3" t="s">
        <v>19</v>
      </c>
      <c r="Y1" s="3" t="s">
        <v>20</v>
      </c>
      <c r="Z1" s="3" t="s">
        <v>21</v>
      </c>
      <c r="AA1" s="3" t="s">
        <v>22</v>
      </c>
      <c r="AB1" s="3" t="s">
        <v>23</v>
      </c>
      <c r="AC1" s="3" t="s">
        <v>24</v>
      </c>
      <c r="AD1" s="3" t="s">
        <v>25</v>
      </c>
      <c r="AE1" s="3" t="s">
        <v>26</v>
      </c>
      <c r="AF1" s="3" t="s">
        <v>27</v>
      </c>
      <c r="AG1" s="3" t="s">
        <v>28</v>
      </c>
      <c r="AH1" s="3" t="s">
        <v>29</v>
      </c>
      <c r="AI1" s="2" t="s">
        <v>30</v>
      </c>
      <c r="AJ1" s="2" t="s">
        <v>31</v>
      </c>
      <c r="AK1" s="2" t="s">
        <v>32</v>
      </c>
      <c r="AL1" s="2" t="s">
        <v>33</v>
      </c>
      <c r="AM1" s="2" t="s">
        <v>34</v>
      </c>
      <c r="AN1" s="2" t="s">
        <v>35</v>
      </c>
      <c r="AO1" s="2" t="s">
        <v>36</v>
      </c>
      <c r="AP1" s="2" t="s">
        <v>37</v>
      </c>
      <c r="AQ1" s="3" t="s">
        <v>20</v>
      </c>
    </row>
    <row r="2" spans="1:43" ht="12.75" x14ac:dyDescent="0.2">
      <c r="A2" s="1" t="s">
        <v>38</v>
      </c>
      <c r="B2" s="5">
        <v>10</v>
      </c>
      <c r="C2" s="2">
        <v>5.4</v>
      </c>
      <c r="D2" s="2">
        <v>0.82</v>
      </c>
      <c r="E2" s="2">
        <v>5.26</v>
      </c>
      <c r="F2" s="2">
        <v>0.54</v>
      </c>
      <c r="G2" s="4">
        <f t="shared" ref="G2:G10" si="0">E2-C2</f>
        <v>-0.14000000000000057</v>
      </c>
      <c r="H2" s="8">
        <f t="shared" ref="H2:H10" si="1">SQRT((D2*D2)/B2+(F2*F2)/B2)</f>
        <v>0.31048349392520047</v>
      </c>
      <c r="I2" s="2">
        <v>10</v>
      </c>
      <c r="J2" s="2">
        <v>5.63</v>
      </c>
      <c r="K2" s="2">
        <v>0.77</v>
      </c>
      <c r="L2" s="2">
        <v>5.54</v>
      </c>
      <c r="M2" s="2">
        <v>0.83</v>
      </c>
      <c r="N2" s="5">
        <f t="shared" ref="N2:N10" si="2">L2-J2</f>
        <v>-8.9999999999999858E-2</v>
      </c>
      <c r="O2" s="10">
        <f t="shared" ref="O2:O10" si="3">SQRT((K2*K2)/I2+(M2*M2)/I2)</f>
        <v>0.35802234567132818</v>
      </c>
      <c r="P2" s="2" t="s">
        <v>125</v>
      </c>
      <c r="Q2" s="2">
        <v>66</v>
      </c>
      <c r="R2" s="2">
        <v>1</v>
      </c>
      <c r="S2" s="2">
        <v>23.62</v>
      </c>
      <c r="T2" s="2">
        <v>0</v>
      </c>
      <c r="V2" s="2">
        <v>2</v>
      </c>
      <c r="W2" s="2">
        <v>1</v>
      </c>
      <c r="X2" s="2">
        <v>1</v>
      </c>
      <c r="Y2" s="2">
        <v>24</v>
      </c>
      <c r="Z2" s="2">
        <v>1</v>
      </c>
      <c r="AA2" s="2" t="s">
        <v>40</v>
      </c>
      <c r="AB2" s="2">
        <v>2</v>
      </c>
      <c r="AC2" s="2" t="s">
        <v>41</v>
      </c>
      <c r="AD2" s="2">
        <v>1</v>
      </c>
      <c r="AE2" s="2" t="s">
        <v>42</v>
      </c>
      <c r="AF2" s="2">
        <v>0</v>
      </c>
      <c r="AG2" s="2">
        <v>1</v>
      </c>
      <c r="AH2" s="2">
        <v>1</v>
      </c>
      <c r="AI2" s="2">
        <f>B2+I2</f>
        <v>20</v>
      </c>
      <c r="AJ2" s="2">
        <v>0</v>
      </c>
      <c r="AK2" s="2">
        <v>0</v>
      </c>
      <c r="AL2" s="2">
        <v>0</v>
      </c>
      <c r="AM2" s="2">
        <v>1</v>
      </c>
      <c r="AN2" s="2">
        <v>1</v>
      </c>
      <c r="AO2" s="2" t="s">
        <v>43</v>
      </c>
      <c r="AP2" s="2">
        <v>0</v>
      </c>
      <c r="AQ2" s="2">
        <v>24</v>
      </c>
    </row>
    <row r="3" spans="1:43" ht="12.75" x14ac:dyDescent="0.2">
      <c r="A3" s="1" t="s">
        <v>44</v>
      </c>
      <c r="B3" s="5">
        <v>25</v>
      </c>
      <c r="C3" s="2">
        <v>5.95</v>
      </c>
      <c r="D3" s="2">
        <v>0.65</v>
      </c>
      <c r="E3" s="2">
        <v>5.19</v>
      </c>
      <c r="F3" s="2">
        <v>0.61</v>
      </c>
      <c r="G3" s="4">
        <f t="shared" si="0"/>
        <v>-0.75999999999999979</v>
      </c>
      <c r="H3" s="8">
        <f t="shared" si="1"/>
        <v>0.17828067758453242</v>
      </c>
      <c r="I3" s="2">
        <v>25</v>
      </c>
      <c r="J3" s="2">
        <v>6.03</v>
      </c>
      <c r="K3" s="2">
        <v>0.62</v>
      </c>
      <c r="L3" s="2">
        <v>5.81</v>
      </c>
      <c r="M3" s="2">
        <v>0.62</v>
      </c>
      <c r="N3" s="5">
        <f t="shared" si="2"/>
        <v>-0.22000000000000064</v>
      </c>
      <c r="O3" s="10">
        <f t="shared" si="3"/>
        <v>0.1753624817342638</v>
      </c>
      <c r="P3" s="2" t="s">
        <v>125</v>
      </c>
      <c r="Q3" s="2">
        <v>64.349999999999994</v>
      </c>
      <c r="R3" s="2">
        <v>1</v>
      </c>
      <c r="S3" s="2">
        <v>28</v>
      </c>
      <c r="T3" s="2">
        <v>1</v>
      </c>
      <c r="U3" s="2">
        <v>15.9</v>
      </c>
      <c r="V3" s="2">
        <v>1</v>
      </c>
      <c r="W3" s="2">
        <v>0</v>
      </c>
      <c r="X3" s="2">
        <v>0</v>
      </c>
      <c r="Y3" s="2">
        <v>12</v>
      </c>
      <c r="Z3" s="2">
        <v>0</v>
      </c>
      <c r="AA3" s="2" t="s">
        <v>45</v>
      </c>
      <c r="AB3" s="2">
        <v>5</v>
      </c>
      <c r="AC3" s="2" t="s">
        <v>41</v>
      </c>
      <c r="AD3" s="2">
        <v>1</v>
      </c>
      <c r="AE3" s="2" t="s">
        <v>46</v>
      </c>
      <c r="AF3" s="2">
        <v>0</v>
      </c>
      <c r="AG3" s="2">
        <v>0</v>
      </c>
      <c r="AH3" s="2">
        <v>0</v>
      </c>
      <c r="AI3" s="2">
        <f>B3+I3</f>
        <v>50</v>
      </c>
      <c r="AJ3" s="2">
        <v>0</v>
      </c>
      <c r="AK3" s="2">
        <v>0</v>
      </c>
      <c r="AL3" s="2">
        <v>0</v>
      </c>
      <c r="AM3" s="2">
        <v>1</v>
      </c>
      <c r="AN3" s="2">
        <v>1</v>
      </c>
      <c r="AO3" s="2" t="s">
        <v>47</v>
      </c>
      <c r="AP3" s="2">
        <v>1</v>
      </c>
      <c r="AQ3" s="2">
        <v>12</v>
      </c>
    </row>
    <row r="4" spans="1:43" ht="12.75" x14ac:dyDescent="0.2">
      <c r="A4" s="1" t="s">
        <v>44</v>
      </c>
      <c r="B4" s="5">
        <v>25</v>
      </c>
      <c r="C4" s="2">
        <v>5.93</v>
      </c>
      <c r="D4" s="2">
        <v>0.72</v>
      </c>
      <c r="E4" s="2">
        <v>5.31</v>
      </c>
      <c r="F4" s="2">
        <v>0.69</v>
      </c>
      <c r="G4" s="4">
        <f t="shared" si="0"/>
        <v>-0.62000000000000011</v>
      </c>
      <c r="H4" s="8">
        <f t="shared" si="1"/>
        <v>0.19944924166313593</v>
      </c>
      <c r="I4" s="2">
        <v>25</v>
      </c>
      <c r="J4" s="2">
        <v>6.03</v>
      </c>
      <c r="K4" s="2">
        <v>0.62</v>
      </c>
      <c r="L4" s="2">
        <v>5.74</v>
      </c>
      <c r="M4" s="2">
        <v>0.62</v>
      </c>
      <c r="N4" s="5">
        <f t="shared" si="2"/>
        <v>-0.29000000000000004</v>
      </c>
      <c r="O4" s="10">
        <f t="shared" si="3"/>
        <v>0.1753624817342638</v>
      </c>
      <c r="P4" s="2" t="s">
        <v>125</v>
      </c>
      <c r="Q4" s="2">
        <v>64.349999999999994</v>
      </c>
      <c r="R4" s="2">
        <v>1</v>
      </c>
      <c r="S4" s="2">
        <v>28</v>
      </c>
      <c r="T4" s="2">
        <v>1</v>
      </c>
      <c r="U4" s="2">
        <v>15.9</v>
      </c>
      <c r="V4" s="2">
        <v>1</v>
      </c>
      <c r="W4" s="2">
        <v>0</v>
      </c>
      <c r="X4" s="2">
        <v>0</v>
      </c>
      <c r="Y4" s="2">
        <v>12</v>
      </c>
      <c r="Z4" s="2">
        <v>0</v>
      </c>
      <c r="AA4" s="2" t="s">
        <v>45</v>
      </c>
      <c r="AB4" s="2">
        <v>5</v>
      </c>
      <c r="AC4" s="2" t="s">
        <v>41</v>
      </c>
      <c r="AD4" s="2">
        <v>1</v>
      </c>
      <c r="AE4" s="2" t="s">
        <v>42</v>
      </c>
      <c r="AF4" s="2">
        <v>0</v>
      </c>
      <c r="AG4" s="2">
        <v>0</v>
      </c>
      <c r="AH4" s="2">
        <v>0</v>
      </c>
      <c r="AI4" s="2">
        <f>B4+I4</f>
        <v>50</v>
      </c>
      <c r="AJ4" s="2">
        <v>0</v>
      </c>
      <c r="AK4" s="2">
        <v>0</v>
      </c>
      <c r="AL4" s="2">
        <v>0</v>
      </c>
      <c r="AM4" s="2">
        <v>1</v>
      </c>
      <c r="AN4" s="2">
        <v>1</v>
      </c>
      <c r="AO4" s="2" t="s">
        <v>47</v>
      </c>
      <c r="AP4" s="2">
        <v>1</v>
      </c>
      <c r="AQ4" s="2">
        <v>12</v>
      </c>
    </row>
    <row r="5" spans="1:43" x14ac:dyDescent="0.2">
      <c r="A5" s="2" t="s">
        <v>48</v>
      </c>
      <c r="B5" s="2">
        <v>20</v>
      </c>
      <c r="C5" s="2">
        <v>5.13</v>
      </c>
      <c r="D5" s="2">
        <v>0.68</v>
      </c>
      <c r="E5" s="2">
        <v>5</v>
      </c>
      <c r="F5" s="2">
        <v>0.57999999999999996</v>
      </c>
      <c r="G5" s="2">
        <f t="shared" si="0"/>
        <v>-0.12999999999999989</v>
      </c>
      <c r="H5" s="9">
        <f t="shared" si="1"/>
        <v>0.19984994370777293</v>
      </c>
      <c r="I5" s="2">
        <v>15</v>
      </c>
      <c r="J5" s="2">
        <v>4.87</v>
      </c>
      <c r="K5" s="2">
        <v>0.62</v>
      </c>
      <c r="L5" s="2">
        <v>5.81</v>
      </c>
      <c r="M5" s="2">
        <v>0.56000000000000005</v>
      </c>
      <c r="N5" s="2">
        <f t="shared" si="2"/>
        <v>0.9399999999999995</v>
      </c>
      <c r="O5" s="9">
        <f t="shared" si="3"/>
        <v>0.21571586249817917</v>
      </c>
      <c r="P5" s="2" t="s">
        <v>125</v>
      </c>
      <c r="Q5" s="2">
        <v>64.739999999999995</v>
      </c>
      <c r="R5" s="2">
        <v>1</v>
      </c>
      <c r="S5" s="2">
        <v>32.130000000000003</v>
      </c>
      <c r="T5" s="2">
        <v>1</v>
      </c>
      <c r="V5" s="2">
        <v>2</v>
      </c>
      <c r="W5" s="2">
        <v>1</v>
      </c>
      <c r="X5" s="2">
        <v>1</v>
      </c>
      <c r="Y5" s="2">
        <v>12</v>
      </c>
      <c r="Z5" s="2">
        <v>0</v>
      </c>
      <c r="AA5" s="2" t="s">
        <v>49</v>
      </c>
      <c r="AB5" s="2">
        <v>4</v>
      </c>
      <c r="AC5" s="2" t="s">
        <v>41</v>
      </c>
      <c r="AD5" s="2">
        <v>1</v>
      </c>
      <c r="AE5" s="2" t="s">
        <v>50</v>
      </c>
      <c r="AF5" s="2">
        <v>0</v>
      </c>
      <c r="AG5" s="2">
        <v>1</v>
      </c>
      <c r="AH5" s="2">
        <v>1</v>
      </c>
      <c r="AI5" s="2">
        <v>35</v>
      </c>
      <c r="AJ5" s="2">
        <v>0</v>
      </c>
      <c r="AK5" s="2">
        <v>0</v>
      </c>
      <c r="AL5" s="2">
        <v>0</v>
      </c>
      <c r="AM5" s="2">
        <v>1</v>
      </c>
      <c r="AN5" s="2">
        <v>1</v>
      </c>
      <c r="AO5" s="2" t="s">
        <v>47</v>
      </c>
      <c r="AP5" s="2">
        <v>1</v>
      </c>
      <c r="AQ5" s="2">
        <v>12</v>
      </c>
    </row>
    <row r="6" spans="1:43" ht="12.75" x14ac:dyDescent="0.2">
      <c r="A6" s="1" t="s">
        <v>51</v>
      </c>
      <c r="B6" s="5">
        <v>38</v>
      </c>
      <c r="C6" s="2">
        <v>5.48</v>
      </c>
      <c r="D6" s="2">
        <v>0.14000000000000001</v>
      </c>
      <c r="E6" s="2">
        <v>5.4</v>
      </c>
      <c r="F6" s="2">
        <v>0.16</v>
      </c>
      <c r="G6" s="4">
        <f t="shared" si="0"/>
        <v>-8.0000000000000071E-2</v>
      </c>
      <c r="H6" s="8">
        <f t="shared" si="1"/>
        <v>3.4488747211380788E-2</v>
      </c>
      <c r="I6" s="2">
        <v>46</v>
      </c>
      <c r="J6" s="2">
        <v>5.69</v>
      </c>
      <c r="K6" s="2">
        <v>0.14000000000000001</v>
      </c>
      <c r="L6" s="2">
        <v>5.63</v>
      </c>
      <c r="M6" s="2">
        <v>0.14000000000000001</v>
      </c>
      <c r="N6" s="5">
        <f t="shared" si="2"/>
        <v>-6.0000000000000497E-2</v>
      </c>
      <c r="O6" s="10">
        <f t="shared" si="3"/>
        <v>2.919201796799047E-2</v>
      </c>
      <c r="P6" s="2" t="s">
        <v>125</v>
      </c>
      <c r="Q6" s="2">
        <v>56</v>
      </c>
      <c r="R6" s="2">
        <v>1</v>
      </c>
      <c r="S6" s="2">
        <v>25.9</v>
      </c>
      <c r="T6" s="2">
        <v>0</v>
      </c>
      <c r="U6" s="2">
        <v>5.6</v>
      </c>
      <c r="V6" s="2">
        <v>0</v>
      </c>
      <c r="W6" s="2">
        <v>0</v>
      </c>
      <c r="X6" s="2">
        <v>0</v>
      </c>
      <c r="Y6" s="2">
        <v>12</v>
      </c>
      <c r="Z6" s="2">
        <v>0</v>
      </c>
      <c r="AA6" s="2" t="s">
        <v>52</v>
      </c>
      <c r="AB6" s="2">
        <v>2</v>
      </c>
      <c r="AC6" s="2" t="s">
        <v>41</v>
      </c>
      <c r="AD6" s="2">
        <v>1</v>
      </c>
      <c r="AE6" s="2" t="s">
        <v>53</v>
      </c>
      <c r="AF6" s="6">
        <v>0</v>
      </c>
      <c r="AG6" s="2">
        <v>1</v>
      </c>
      <c r="AH6" s="2">
        <v>1</v>
      </c>
      <c r="AI6" s="2">
        <f t="shared" ref="AI6:AI37" si="4">B6+I6</f>
        <v>84</v>
      </c>
      <c r="AJ6" s="2">
        <v>1</v>
      </c>
      <c r="AK6" s="2">
        <v>0</v>
      </c>
      <c r="AL6" s="2">
        <v>0</v>
      </c>
      <c r="AM6" s="6">
        <v>0</v>
      </c>
      <c r="AN6" s="6">
        <v>0</v>
      </c>
      <c r="AO6" s="2" t="s">
        <v>54</v>
      </c>
      <c r="AP6" s="2">
        <v>2</v>
      </c>
      <c r="AQ6" s="2">
        <v>12</v>
      </c>
    </row>
    <row r="7" spans="1:43" ht="12.75" x14ac:dyDescent="0.2">
      <c r="A7" s="1" t="s">
        <v>55</v>
      </c>
      <c r="B7" s="5">
        <v>16</v>
      </c>
      <c r="C7" s="2">
        <v>4.95</v>
      </c>
      <c r="D7" s="2">
        <v>0.74</v>
      </c>
      <c r="E7" s="2">
        <v>5.07</v>
      </c>
      <c r="F7" s="2">
        <v>0.91</v>
      </c>
      <c r="G7" s="4">
        <f t="shared" si="0"/>
        <v>0.12000000000000011</v>
      </c>
      <c r="H7" s="8">
        <f t="shared" si="1"/>
        <v>0.29322559574498269</v>
      </c>
      <c r="I7" s="2">
        <v>16</v>
      </c>
      <c r="J7" s="2">
        <v>5.38</v>
      </c>
      <c r="K7" s="2">
        <v>0.61</v>
      </c>
      <c r="L7" s="2">
        <v>5.52</v>
      </c>
      <c r="M7" s="2">
        <v>1.05</v>
      </c>
      <c r="N7" s="5">
        <f t="shared" si="2"/>
        <v>0.13999999999999968</v>
      </c>
      <c r="O7" s="10">
        <f t="shared" si="3"/>
        <v>0.30358277289727759</v>
      </c>
      <c r="P7" s="2" t="s">
        <v>125</v>
      </c>
      <c r="Q7" s="2">
        <v>54.4</v>
      </c>
      <c r="R7" s="2">
        <v>0</v>
      </c>
      <c r="S7" s="2">
        <v>25.8</v>
      </c>
      <c r="T7" s="2">
        <v>0</v>
      </c>
      <c r="V7" s="2">
        <v>2</v>
      </c>
      <c r="W7" s="2">
        <v>0</v>
      </c>
      <c r="X7" s="2">
        <v>0</v>
      </c>
      <c r="Y7" s="2">
        <v>4</v>
      </c>
      <c r="Z7" s="2">
        <v>0</v>
      </c>
      <c r="AA7" s="2" t="s">
        <v>52</v>
      </c>
      <c r="AB7" s="2">
        <v>2</v>
      </c>
      <c r="AC7" s="2" t="s">
        <v>41</v>
      </c>
      <c r="AD7" s="2">
        <v>1</v>
      </c>
      <c r="AE7" s="2" t="s">
        <v>56</v>
      </c>
      <c r="AF7" s="6">
        <v>0</v>
      </c>
      <c r="AG7" s="2">
        <v>1</v>
      </c>
      <c r="AH7" s="2">
        <v>1</v>
      </c>
      <c r="AI7" s="2">
        <f t="shared" si="4"/>
        <v>32</v>
      </c>
      <c r="AJ7" s="2">
        <v>0</v>
      </c>
      <c r="AK7" s="2">
        <v>0</v>
      </c>
      <c r="AL7" s="2">
        <v>0</v>
      </c>
      <c r="AM7" s="6">
        <v>1</v>
      </c>
      <c r="AN7" s="6">
        <v>1</v>
      </c>
      <c r="AO7" s="2" t="s">
        <v>47</v>
      </c>
      <c r="AP7" s="2">
        <v>1</v>
      </c>
      <c r="AQ7" s="2">
        <v>4</v>
      </c>
    </row>
    <row r="8" spans="1:43" ht="12.75" x14ac:dyDescent="0.2">
      <c r="A8" s="1" t="s">
        <v>57</v>
      </c>
      <c r="B8" s="5">
        <v>24</v>
      </c>
      <c r="C8" s="2">
        <v>6.99</v>
      </c>
      <c r="D8" s="2">
        <v>0.82</v>
      </c>
      <c r="E8" s="2">
        <v>6.25</v>
      </c>
      <c r="F8" s="2">
        <v>0.93</v>
      </c>
      <c r="G8" s="4">
        <f t="shared" si="0"/>
        <v>-0.74000000000000021</v>
      </c>
      <c r="H8" s="8">
        <f t="shared" si="1"/>
        <v>0.25308924644612357</v>
      </c>
      <c r="I8" s="2">
        <v>24</v>
      </c>
      <c r="J8" s="2">
        <v>6.99</v>
      </c>
      <c r="K8" s="2">
        <v>0.82</v>
      </c>
      <c r="L8" s="2">
        <v>6.18</v>
      </c>
      <c r="M8" s="2">
        <v>0.83</v>
      </c>
      <c r="N8" s="5">
        <f t="shared" si="2"/>
        <v>-0.8100000000000005</v>
      </c>
      <c r="O8" s="10">
        <f t="shared" si="3"/>
        <v>0.23816135986623299</v>
      </c>
      <c r="P8" s="2" t="s">
        <v>125</v>
      </c>
      <c r="Q8" s="2">
        <v>55</v>
      </c>
      <c r="R8" s="2">
        <v>0</v>
      </c>
      <c r="T8" s="2">
        <v>2</v>
      </c>
      <c r="V8" s="2">
        <v>2</v>
      </c>
      <c r="W8" s="2">
        <v>0</v>
      </c>
      <c r="X8" s="2">
        <v>0</v>
      </c>
      <c r="Y8" s="2">
        <v>6</v>
      </c>
      <c r="Z8" s="2">
        <v>0</v>
      </c>
      <c r="AA8" s="2" t="s">
        <v>58</v>
      </c>
      <c r="AB8" s="2">
        <v>5</v>
      </c>
      <c r="AC8" s="2" t="s">
        <v>59</v>
      </c>
      <c r="AD8" s="2">
        <v>0</v>
      </c>
      <c r="AE8" s="2" t="s">
        <v>60</v>
      </c>
      <c r="AF8" s="2">
        <v>0</v>
      </c>
      <c r="AG8" s="2">
        <v>1</v>
      </c>
      <c r="AH8" s="2">
        <v>1</v>
      </c>
      <c r="AI8" s="2">
        <f t="shared" si="4"/>
        <v>48</v>
      </c>
      <c r="AJ8" s="2">
        <v>0</v>
      </c>
      <c r="AK8" s="2">
        <v>1</v>
      </c>
      <c r="AL8" s="2">
        <v>1</v>
      </c>
      <c r="AM8" s="2">
        <v>1</v>
      </c>
      <c r="AN8" s="2">
        <v>1</v>
      </c>
      <c r="AO8" s="2" t="s">
        <v>43</v>
      </c>
      <c r="AP8" s="2">
        <v>0</v>
      </c>
      <c r="AQ8" s="2">
        <v>6</v>
      </c>
    </row>
    <row r="9" spans="1:43" x14ac:dyDescent="0.2">
      <c r="A9" s="2" t="s">
        <v>61</v>
      </c>
      <c r="B9" s="2">
        <v>28</v>
      </c>
      <c r="C9" s="2">
        <v>4.83</v>
      </c>
      <c r="D9" s="2">
        <v>1.28</v>
      </c>
      <c r="E9" s="2">
        <v>4.58</v>
      </c>
      <c r="F9" s="2">
        <v>1.1000000000000001</v>
      </c>
      <c r="G9" s="2">
        <f t="shared" si="0"/>
        <v>-0.25</v>
      </c>
      <c r="H9" s="9">
        <f t="shared" si="1"/>
        <v>0.31894916746806451</v>
      </c>
      <c r="I9" s="2">
        <v>26</v>
      </c>
      <c r="J9" s="2">
        <v>4.92</v>
      </c>
      <c r="K9" s="2">
        <v>0.92</v>
      </c>
      <c r="L9" s="2">
        <v>4.8899999999999997</v>
      </c>
      <c r="M9" s="2">
        <v>1.06</v>
      </c>
      <c r="N9" s="2">
        <f t="shared" si="2"/>
        <v>-3.0000000000000249E-2</v>
      </c>
      <c r="O9" s="9">
        <f t="shared" si="3"/>
        <v>0.27526211284742907</v>
      </c>
      <c r="P9" s="2" t="s">
        <v>125</v>
      </c>
      <c r="Q9" s="2">
        <v>57.66</v>
      </c>
      <c r="R9" s="2">
        <v>1</v>
      </c>
      <c r="S9" s="2">
        <v>31.06</v>
      </c>
      <c r="T9" s="2">
        <v>1</v>
      </c>
      <c r="U9" s="2">
        <v>6.48</v>
      </c>
      <c r="V9" s="2">
        <v>0</v>
      </c>
      <c r="W9" s="2">
        <v>1</v>
      </c>
      <c r="X9" s="2">
        <v>1</v>
      </c>
      <c r="Y9" s="2">
        <v>12</v>
      </c>
      <c r="Z9" s="2">
        <v>0</v>
      </c>
      <c r="AA9" s="2" t="s">
        <v>45</v>
      </c>
      <c r="AB9" s="2">
        <v>5</v>
      </c>
      <c r="AC9" s="2" t="s">
        <v>41</v>
      </c>
      <c r="AD9" s="2">
        <v>1</v>
      </c>
      <c r="AE9" s="2" t="s">
        <v>62</v>
      </c>
      <c r="AF9" s="2">
        <v>0</v>
      </c>
      <c r="AG9" s="2">
        <v>0</v>
      </c>
      <c r="AH9" s="2">
        <v>0</v>
      </c>
      <c r="AI9" s="2">
        <f t="shared" si="4"/>
        <v>54</v>
      </c>
      <c r="AJ9" s="2">
        <v>1</v>
      </c>
      <c r="AK9" s="2">
        <v>0</v>
      </c>
      <c r="AL9" s="2">
        <v>0</v>
      </c>
      <c r="AM9" s="2">
        <v>1</v>
      </c>
      <c r="AN9" s="2">
        <v>1</v>
      </c>
      <c r="AO9" s="2" t="s">
        <v>54</v>
      </c>
      <c r="AP9" s="2">
        <v>2</v>
      </c>
      <c r="AQ9" s="2">
        <v>12</v>
      </c>
    </row>
    <row r="10" spans="1:43" ht="12.75" x14ac:dyDescent="0.2">
      <c r="A10" s="1" t="s">
        <v>63</v>
      </c>
      <c r="B10" s="5">
        <v>35</v>
      </c>
      <c r="C10" s="2">
        <v>5.97</v>
      </c>
      <c r="D10" s="2">
        <v>0.93</v>
      </c>
      <c r="E10" s="2">
        <v>6.27</v>
      </c>
      <c r="F10" s="2">
        <v>0.95</v>
      </c>
      <c r="G10" s="4">
        <f t="shared" si="0"/>
        <v>0.29999999999999982</v>
      </c>
      <c r="H10" s="8">
        <f t="shared" si="1"/>
        <v>0.22471569339310252</v>
      </c>
      <c r="I10" s="2">
        <v>27</v>
      </c>
      <c r="J10" s="2">
        <v>6.13</v>
      </c>
      <c r="K10" s="2">
        <v>0.91</v>
      </c>
      <c r="L10" s="2">
        <v>6.57</v>
      </c>
      <c r="M10" s="2">
        <v>0.93</v>
      </c>
      <c r="N10" s="5">
        <f t="shared" si="2"/>
        <v>0.44000000000000039</v>
      </c>
      <c r="O10" s="10">
        <f t="shared" si="3"/>
        <v>0.25040707598569117</v>
      </c>
      <c r="P10" s="2" t="s">
        <v>125</v>
      </c>
      <c r="Q10" s="2">
        <v>54.3</v>
      </c>
      <c r="R10" s="2">
        <v>0</v>
      </c>
      <c r="S10" s="2">
        <v>28.03</v>
      </c>
      <c r="T10" s="2">
        <v>1</v>
      </c>
      <c r="U10" s="2">
        <v>5.4</v>
      </c>
      <c r="V10" s="2">
        <v>0</v>
      </c>
      <c r="W10" s="2">
        <v>0</v>
      </c>
      <c r="X10" s="2">
        <v>0</v>
      </c>
      <c r="Y10" s="2">
        <v>48</v>
      </c>
      <c r="Z10" s="2">
        <v>1</v>
      </c>
      <c r="AA10" s="2" t="s">
        <v>52</v>
      </c>
      <c r="AB10" s="2">
        <v>2</v>
      </c>
      <c r="AC10" s="2" t="s">
        <v>41</v>
      </c>
      <c r="AD10" s="2">
        <v>1</v>
      </c>
      <c r="AE10" s="2" t="s">
        <v>64</v>
      </c>
      <c r="AF10" s="2">
        <v>0</v>
      </c>
      <c r="AG10" s="2">
        <v>1</v>
      </c>
      <c r="AH10" s="2">
        <v>1</v>
      </c>
      <c r="AI10" s="2">
        <f t="shared" si="4"/>
        <v>62</v>
      </c>
      <c r="AJ10" s="2">
        <v>1</v>
      </c>
      <c r="AK10" s="2">
        <v>0</v>
      </c>
      <c r="AL10" s="2">
        <v>0</v>
      </c>
      <c r="AM10" s="2">
        <v>0</v>
      </c>
      <c r="AN10" s="2">
        <v>0</v>
      </c>
      <c r="AO10" s="2" t="s">
        <v>54</v>
      </c>
      <c r="AP10" s="2">
        <v>2</v>
      </c>
      <c r="AQ10" s="2">
        <v>48</v>
      </c>
    </row>
    <row r="11" spans="1:43" ht="12.75" x14ac:dyDescent="0.2">
      <c r="A11" s="1" t="s">
        <v>66</v>
      </c>
      <c r="B11" s="5">
        <v>23</v>
      </c>
      <c r="C11" s="2">
        <v>5.4</v>
      </c>
      <c r="D11" s="2">
        <v>0.88</v>
      </c>
      <c r="E11" s="2">
        <v>5.32</v>
      </c>
      <c r="F11" s="2">
        <v>0.7</v>
      </c>
      <c r="G11" s="4">
        <f t="shared" ref="G11:G17" si="5">E11-C11</f>
        <v>-8.0000000000000071E-2</v>
      </c>
      <c r="H11" s="8">
        <f t="shared" ref="H11:H17" si="6">SQRT((D11*D11)/B11+(F11*F11)/B11)</f>
        <v>0.23446516381645752</v>
      </c>
      <c r="I11" s="2">
        <v>22</v>
      </c>
      <c r="J11" s="2">
        <v>5.58</v>
      </c>
      <c r="K11" s="2">
        <v>0.86</v>
      </c>
      <c r="L11" s="2">
        <v>5.64</v>
      </c>
      <c r="M11" s="2">
        <v>0.78</v>
      </c>
      <c r="N11" s="5">
        <f t="shared" ref="N11:N17" si="7">L11-J11</f>
        <v>5.9999999999999609E-2</v>
      </c>
      <c r="O11" s="10">
        <f t="shared" ref="O11:O17" si="8">SQRT((K11*K11)/I11+(M11*M11)/I11)</f>
        <v>0.24753328518146256</v>
      </c>
      <c r="P11" s="2" t="s">
        <v>125</v>
      </c>
      <c r="Q11" s="2">
        <v>58.5</v>
      </c>
      <c r="R11" s="2">
        <v>1</v>
      </c>
      <c r="S11" s="2">
        <v>30.1</v>
      </c>
      <c r="T11" s="2">
        <v>1</v>
      </c>
      <c r="U11" s="2">
        <v>9.5</v>
      </c>
      <c r="V11" s="2">
        <v>1</v>
      </c>
      <c r="W11" s="2">
        <v>1</v>
      </c>
      <c r="X11" s="2">
        <v>1</v>
      </c>
      <c r="Y11" s="2">
        <v>24</v>
      </c>
      <c r="Z11" s="2">
        <v>1</v>
      </c>
      <c r="AA11" s="2" t="s">
        <v>40</v>
      </c>
      <c r="AB11" s="2">
        <v>2</v>
      </c>
      <c r="AC11" s="2" t="s">
        <v>41</v>
      </c>
      <c r="AD11" s="2">
        <v>1</v>
      </c>
      <c r="AE11" s="2" t="s">
        <v>39</v>
      </c>
      <c r="AF11" s="2">
        <v>0</v>
      </c>
      <c r="AG11" s="2">
        <v>1</v>
      </c>
      <c r="AH11" s="2">
        <v>1</v>
      </c>
      <c r="AI11" s="2">
        <f t="shared" si="4"/>
        <v>45</v>
      </c>
      <c r="AJ11" s="2">
        <v>0</v>
      </c>
      <c r="AK11" s="2">
        <v>0</v>
      </c>
      <c r="AL11" s="2">
        <v>0</v>
      </c>
      <c r="AM11" s="2">
        <v>1</v>
      </c>
      <c r="AN11" s="2">
        <v>1</v>
      </c>
      <c r="AO11" s="2" t="s">
        <v>43</v>
      </c>
      <c r="AP11" s="2">
        <v>0</v>
      </c>
      <c r="AQ11" s="2">
        <v>24</v>
      </c>
    </row>
    <row r="12" spans="1:43" ht="12.75" x14ac:dyDescent="0.2">
      <c r="A12" s="1" t="s">
        <v>67</v>
      </c>
      <c r="B12" s="5">
        <v>47</v>
      </c>
      <c r="C12" s="2">
        <v>4.26</v>
      </c>
      <c r="D12" s="2">
        <v>0.62</v>
      </c>
      <c r="E12" s="2">
        <v>4.22</v>
      </c>
      <c r="F12" s="2">
        <v>0.69</v>
      </c>
      <c r="G12" s="4">
        <f t="shared" si="5"/>
        <v>-4.0000000000000036E-2</v>
      </c>
      <c r="H12" s="8">
        <f t="shared" si="6"/>
        <v>0.13530894515255773</v>
      </c>
      <c r="I12" s="2">
        <v>46</v>
      </c>
      <c r="J12" s="2">
        <v>4.29</v>
      </c>
      <c r="K12" s="2">
        <v>0.75</v>
      </c>
      <c r="L12" s="2">
        <v>4.3499999999999996</v>
      </c>
      <c r="M12" s="2">
        <v>0.75</v>
      </c>
      <c r="N12" s="5">
        <f t="shared" si="7"/>
        <v>5.9999999999999609E-2</v>
      </c>
      <c r="O12" s="10">
        <f t="shared" si="8"/>
        <v>0.15638581054280606</v>
      </c>
      <c r="P12" s="2" t="s">
        <v>125</v>
      </c>
      <c r="Q12" s="2">
        <v>62.5</v>
      </c>
      <c r="R12" s="2">
        <v>1</v>
      </c>
      <c r="S12" s="2">
        <v>32.299999999999997</v>
      </c>
      <c r="T12" s="2">
        <v>1</v>
      </c>
      <c r="U12" s="2">
        <v>13.5</v>
      </c>
      <c r="V12" s="2">
        <v>1</v>
      </c>
      <c r="W12" s="2">
        <v>0</v>
      </c>
      <c r="X12" s="2">
        <v>0</v>
      </c>
      <c r="Y12" s="2">
        <v>48</v>
      </c>
      <c r="Z12" s="2">
        <v>1</v>
      </c>
      <c r="AA12" s="2" t="s">
        <v>68</v>
      </c>
      <c r="AB12" s="2">
        <v>0</v>
      </c>
      <c r="AC12" s="2" t="s">
        <v>41</v>
      </c>
      <c r="AD12" s="2">
        <v>1</v>
      </c>
      <c r="AE12" s="2" t="s">
        <v>60</v>
      </c>
      <c r="AF12" s="2">
        <v>0</v>
      </c>
      <c r="AG12" s="2">
        <v>0</v>
      </c>
      <c r="AH12" s="2">
        <v>0</v>
      </c>
      <c r="AI12" s="2">
        <f t="shared" si="4"/>
        <v>93</v>
      </c>
      <c r="AJ12" s="2">
        <v>1</v>
      </c>
      <c r="AK12" s="2">
        <v>0</v>
      </c>
      <c r="AL12" s="2">
        <v>0</v>
      </c>
      <c r="AM12" s="2">
        <v>1</v>
      </c>
      <c r="AN12" s="2">
        <v>1</v>
      </c>
      <c r="AO12" s="2" t="s">
        <v>43</v>
      </c>
      <c r="AP12" s="2">
        <v>0</v>
      </c>
      <c r="AQ12" s="2">
        <v>48</v>
      </c>
    </row>
    <row r="13" spans="1:43" ht="12.75" x14ac:dyDescent="0.2">
      <c r="A13" s="1" t="s">
        <v>69</v>
      </c>
      <c r="B13" s="5">
        <v>20</v>
      </c>
      <c r="C13" s="2">
        <v>6.8</v>
      </c>
      <c r="D13" s="2">
        <v>0.89</v>
      </c>
      <c r="E13" s="2">
        <v>6.5</v>
      </c>
      <c r="F13" s="2">
        <v>0.96</v>
      </c>
      <c r="G13" s="4">
        <f t="shared" si="5"/>
        <v>-0.29999999999999982</v>
      </c>
      <c r="H13" s="8">
        <f t="shared" si="6"/>
        <v>0.29272000273298715</v>
      </c>
      <c r="I13" s="2">
        <v>16</v>
      </c>
      <c r="J13" s="2">
        <v>6.3</v>
      </c>
      <c r="K13" s="2">
        <v>2</v>
      </c>
      <c r="L13" s="2">
        <v>6.4</v>
      </c>
      <c r="M13" s="2">
        <v>1.6</v>
      </c>
      <c r="N13" s="5">
        <f t="shared" si="7"/>
        <v>0.10000000000000053</v>
      </c>
      <c r="O13" s="10">
        <f t="shared" si="8"/>
        <v>0.6403124237432849</v>
      </c>
      <c r="P13" s="2" t="s">
        <v>125</v>
      </c>
      <c r="Q13" s="2">
        <v>69.400000000000006</v>
      </c>
      <c r="R13" s="2">
        <v>1</v>
      </c>
      <c r="S13" s="2">
        <v>25</v>
      </c>
      <c r="T13" s="2">
        <v>0</v>
      </c>
      <c r="V13" s="2">
        <v>2</v>
      </c>
      <c r="W13" s="2">
        <v>1</v>
      </c>
      <c r="X13" s="2">
        <v>1</v>
      </c>
      <c r="Y13" s="2">
        <v>24</v>
      </c>
      <c r="Z13" s="2">
        <v>1</v>
      </c>
      <c r="AA13" s="2" t="s">
        <v>52</v>
      </c>
      <c r="AB13" s="2">
        <v>2</v>
      </c>
      <c r="AC13" s="2" t="s">
        <v>41</v>
      </c>
      <c r="AD13" s="2">
        <v>1</v>
      </c>
      <c r="AE13" s="2" t="s">
        <v>70</v>
      </c>
      <c r="AF13" s="2">
        <v>0</v>
      </c>
      <c r="AG13" s="2">
        <v>1</v>
      </c>
      <c r="AH13" s="2">
        <v>1</v>
      </c>
      <c r="AI13" s="2">
        <f t="shared" si="4"/>
        <v>36</v>
      </c>
      <c r="AJ13" s="2">
        <v>0</v>
      </c>
      <c r="AK13" s="2">
        <v>1</v>
      </c>
      <c r="AL13" s="2">
        <v>1</v>
      </c>
      <c r="AM13" s="2">
        <v>0</v>
      </c>
      <c r="AN13" s="2">
        <v>0</v>
      </c>
      <c r="AO13" s="2" t="s">
        <v>43</v>
      </c>
      <c r="AP13" s="2">
        <v>0</v>
      </c>
      <c r="AQ13" s="2">
        <v>24</v>
      </c>
    </row>
    <row r="14" spans="1:43" ht="12.75" x14ac:dyDescent="0.2">
      <c r="A14" s="1" t="s">
        <v>71</v>
      </c>
      <c r="B14" s="5">
        <v>85</v>
      </c>
      <c r="C14" s="2">
        <v>5.67</v>
      </c>
      <c r="D14" s="2">
        <v>0.75</v>
      </c>
      <c r="E14" s="2">
        <v>5.66</v>
      </c>
      <c r="F14" s="2">
        <v>0.72</v>
      </c>
      <c r="G14" s="4">
        <f t="shared" si="5"/>
        <v>-9.9999999999997868E-3</v>
      </c>
      <c r="H14" s="8">
        <f t="shared" si="6"/>
        <v>0.1127673294364786</v>
      </c>
      <c r="I14" s="2">
        <v>94</v>
      </c>
      <c r="J14" s="2">
        <v>5.78</v>
      </c>
      <c r="K14" s="2">
        <v>0.71</v>
      </c>
      <c r="L14" s="2">
        <v>5.96</v>
      </c>
      <c r="M14" s="2">
        <v>0.72</v>
      </c>
      <c r="N14" s="5">
        <f t="shared" si="7"/>
        <v>0.17999999999999972</v>
      </c>
      <c r="O14" s="10">
        <f t="shared" si="8"/>
        <v>0.10429601897708314</v>
      </c>
      <c r="P14" s="2" t="s">
        <v>125</v>
      </c>
      <c r="Q14" s="2">
        <v>54.7</v>
      </c>
      <c r="R14" s="2">
        <v>0</v>
      </c>
      <c r="S14" s="2">
        <v>26.2</v>
      </c>
      <c r="T14" s="2">
        <v>1</v>
      </c>
      <c r="U14" s="2">
        <v>5.3</v>
      </c>
      <c r="V14" s="2">
        <v>0</v>
      </c>
      <c r="W14" s="2">
        <v>0</v>
      </c>
      <c r="X14" s="2">
        <v>0</v>
      </c>
      <c r="Y14" s="2">
        <v>48</v>
      </c>
      <c r="Z14" s="2">
        <v>1</v>
      </c>
      <c r="AA14" s="2" t="s">
        <v>40</v>
      </c>
      <c r="AB14" s="2">
        <v>2</v>
      </c>
      <c r="AC14" s="2" t="s">
        <v>41</v>
      </c>
      <c r="AD14" s="2">
        <v>1</v>
      </c>
      <c r="AE14" s="2" t="s">
        <v>72</v>
      </c>
      <c r="AF14" s="2">
        <v>1</v>
      </c>
      <c r="AG14" s="2">
        <v>1</v>
      </c>
      <c r="AH14" s="2">
        <v>1</v>
      </c>
      <c r="AI14" s="2">
        <f t="shared" si="4"/>
        <v>179</v>
      </c>
      <c r="AJ14" s="2">
        <v>1</v>
      </c>
      <c r="AK14" s="2">
        <v>0</v>
      </c>
      <c r="AL14" s="2">
        <v>0</v>
      </c>
      <c r="AM14" s="2">
        <v>0</v>
      </c>
      <c r="AN14" s="2">
        <v>0</v>
      </c>
      <c r="AO14" s="2" t="s">
        <v>54</v>
      </c>
      <c r="AP14" s="2">
        <v>2</v>
      </c>
      <c r="AQ14" s="2">
        <v>48</v>
      </c>
    </row>
    <row r="15" spans="1:43" ht="12.75" x14ac:dyDescent="0.2">
      <c r="A15" s="1" t="s">
        <v>73</v>
      </c>
      <c r="B15" s="5">
        <v>15</v>
      </c>
      <c r="C15" s="2">
        <v>5.5</v>
      </c>
      <c r="D15" s="2">
        <v>1</v>
      </c>
      <c r="E15" s="2">
        <v>5.8</v>
      </c>
      <c r="F15" s="2">
        <v>0.7</v>
      </c>
      <c r="G15" s="4">
        <f t="shared" si="5"/>
        <v>0.29999999999999982</v>
      </c>
      <c r="H15" s="8">
        <f t="shared" si="6"/>
        <v>0.31517191076194168</v>
      </c>
      <c r="I15" s="2">
        <v>14</v>
      </c>
      <c r="J15" s="2">
        <v>4.8</v>
      </c>
      <c r="K15" s="2">
        <v>0.5</v>
      </c>
      <c r="L15" s="2">
        <v>4.8</v>
      </c>
      <c r="M15" s="2">
        <v>0.6</v>
      </c>
      <c r="N15" s="5">
        <f t="shared" si="7"/>
        <v>0</v>
      </c>
      <c r="O15" s="10">
        <f t="shared" si="8"/>
        <v>0.20873770280289225</v>
      </c>
      <c r="P15" s="2" t="s">
        <v>125</v>
      </c>
      <c r="Q15" s="2">
        <v>53.52</v>
      </c>
      <c r="R15" s="2">
        <v>0</v>
      </c>
      <c r="S15" s="2">
        <v>26.94</v>
      </c>
      <c r="T15" s="2">
        <v>1</v>
      </c>
      <c r="V15" s="2">
        <v>2</v>
      </c>
      <c r="W15" s="2">
        <v>1</v>
      </c>
      <c r="X15" s="2">
        <v>1</v>
      </c>
      <c r="Y15" s="2">
        <v>12</v>
      </c>
      <c r="Z15" s="2">
        <v>0</v>
      </c>
      <c r="AA15" s="2" t="s">
        <v>49</v>
      </c>
      <c r="AB15" s="2">
        <v>4</v>
      </c>
      <c r="AC15" s="2" t="s">
        <v>41</v>
      </c>
      <c r="AD15" s="2">
        <v>1</v>
      </c>
      <c r="AE15" s="2" t="s">
        <v>60</v>
      </c>
      <c r="AF15" s="2">
        <v>0</v>
      </c>
      <c r="AG15" s="2">
        <v>1</v>
      </c>
      <c r="AH15" s="2">
        <v>1</v>
      </c>
      <c r="AI15" s="2">
        <f t="shared" si="4"/>
        <v>29</v>
      </c>
      <c r="AJ15" s="2">
        <v>0</v>
      </c>
      <c r="AK15" s="2">
        <v>0</v>
      </c>
      <c r="AL15" s="2">
        <v>0</v>
      </c>
      <c r="AM15" s="2">
        <v>1</v>
      </c>
      <c r="AN15" s="2">
        <v>1</v>
      </c>
      <c r="AO15" s="2" t="s">
        <v>43</v>
      </c>
      <c r="AP15" s="2">
        <v>0</v>
      </c>
      <c r="AQ15" s="2">
        <v>12</v>
      </c>
    </row>
    <row r="16" spans="1:43" ht="12.75" x14ac:dyDescent="0.2">
      <c r="A16" s="1" t="s">
        <v>75</v>
      </c>
      <c r="B16" s="5">
        <v>117</v>
      </c>
      <c r="C16" s="2">
        <v>6.03</v>
      </c>
      <c r="D16" s="2">
        <v>1.32</v>
      </c>
      <c r="E16" s="2">
        <v>6.13</v>
      </c>
      <c r="F16" s="2">
        <v>1.34</v>
      </c>
      <c r="G16" s="4">
        <f t="shared" si="5"/>
        <v>9.9999999999999645E-2</v>
      </c>
      <c r="H16" s="8">
        <f t="shared" si="6"/>
        <v>0.17389455494441522</v>
      </c>
      <c r="I16" s="2">
        <v>117</v>
      </c>
      <c r="J16" s="2">
        <v>5.96</v>
      </c>
      <c r="K16" s="2">
        <v>1.19</v>
      </c>
      <c r="L16" s="2">
        <v>6.1</v>
      </c>
      <c r="M16" s="2">
        <v>1.22</v>
      </c>
      <c r="N16" s="5">
        <f t="shared" si="7"/>
        <v>0.13999999999999968</v>
      </c>
      <c r="O16" s="10">
        <f t="shared" si="8"/>
        <v>0.15755883448663335</v>
      </c>
      <c r="P16" s="2" t="s">
        <v>125</v>
      </c>
      <c r="Q16" s="2">
        <v>57.7</v>
      </c>
      <c r="R16" s="2">
        <v>1</v>
      </c>
      <c r="S16" s="2">
        <v>25</v>
      </c>
      <c r="T16" s="2">
        <v>0</v>
      </c>
      <c r="V16" s="2">
        <v>2</v>
      </c>
      <c r="W16" s="2">
        <v>0</v>
      </c>
      <c r="X16" s="2">
        <v>0</v>
      </c>
      <c r="Y16" s="2">
        <v>8</v>
      </c>
      <c r="Z16" s="2">
        <v>0</v>
      </c>
      <c r="AA16" s="2" t="s">
        <v>76</v>
      </c>
      <c r="AB16" s="2">
        <v>0</v>
      </c>
      <c r="AC16" s="2" t="s">
        <v>59</v>
      </c>
      <c r="AD16" s="2">
        <v>0</v>
      </c>
      <c r="AE16" s="2" t="s">
        <v>74</v>
      </c>
      <c r="AF16" s="2">
        <v>0</v>
      </c>
      <c r="AG16" s="2">
        <v>1</v>
      </c>
      <c r="AH16" s="2">
        <v>1</v>
      </c>
      <c r="AI16" s="2">
        <f t="shared" si="4"/>
        <v>234</v>
      </c>
      <c r="AJ16" s="2">
        <v>1</v>
      </c>
      <c r="AK16" s="2">
        <v>0</v>
      </c>
      <c r="AL16" s="2">
        <v>0</v>
      </c>
      <c r="AM16" s="2">
        <v>1</v>
      </c>
      <c r="AN16" s="2">
        <v>1</v>
      </c>
      <c r="AO16" s="2" t="s">
        <v>47</v>
      </c>
      <c r="AP16" s="2">
        <v>1</v>
      </c>
      <c r="AQ16" s="2">
        <v>8</v>
      </c>
    </row>
    <row r="17" spans="1:43" ht="12.75" x14ac:dyDescent="0.2">
      <c r="A17" s="1" t="s">
        <v>77</v>
      </c>
      <c r="B17" s="5">
        <v>53</v>
      </c>
      <c r="C17" s="2">
        <v>5.8</v>
      </c>
      <c r="D17" s="2">
        <v>0.97</v>
      </c>
      <c r="E17" s="2">
        <v>5.5</v>
      </c>
      <c r="F17" s="2">
        <v>0.83</v>
      </c>
      <c r="G17" s="4">
        <f t="shared" si="5"/>
        <v>-0.29999999999999982</v>
      </c>
      <c r="H17" s="8">
        <f t="shared" si="6"/>
        <v>0.17535946908059002</v>
      </c>
      <c r="I17" s="2">
        <v>53</v>
      </c>
      <c r="J17" s="2">
        <v>5.8</v>
      </c>
      <c r="K17" s="2">
        <v>0.97</v>
      </c>
      <c r="L17" s="2">
        <v>5.7</v>
      </c>
      <c r="M17" s="2">
        <v>0.88</v>
      </c>
      <c r="N17" s="5">
        <f t="shared" si="7"/>
        <v>-9.9999999999999645E-2</v>
      </c>
      <c r="O17" s="10">
        <f t="shared" si="8"/>
        <v>0.17990039172663361</v>
      </c>
      <c r="P17" s="2" t="s">
        <v>125</v>
      </c>
      <c r="Q17" s="2">
        <v>51.3</v>
      </c>
      <c r="R17" s="2">
        <v>0</v>
      </c>
      <c r="S17" s="2">
        <v>26.6</v>
      </c>
      <c r="T17" s="2">
        <v>1</v>
      </c>
      <c r="V17" s="2">
        <v>2</v>
      </c>
      <c r="W17" s="2">
        <v>1</v>
      </c>
      <c r="X17" s="2">
        <v>1</v>
      </c>
      <c r="Y17" s="2">
        <v>12</v>
      </c>
      <c r="Z17" s="2">
        <v>0</v>
      </c>
      <c r="AA17" s="2" t="s">
        <v>78</v>
      </c>
      <c r="AB17" s="2">
        <v>4</v>
      </c>
      <c r="AC17" s="2" t="s">
        <v>59</v>
      </c>
      <c r="AD17" s="2">
        <v>0</v>
      </c>
      <c r="AE17" s="2" t="s">
        <v>79</v>
      </c>
      <c r="AF17" s="2">
        <v>2</v>
      </c>
      <c r="AG17" s="2">
        <v>1</v>
      </c>
      <c r="AH17" s="2">
        <v>1</v>
      </c>
      <c r="AI17" s="2">
        <f t="shared" si="4"/>
        <v>106</v>
      </c>
      <c r="AJ17" s="2">
        <v>1</v>
      </c>
      <c r="AK17" s="2">
        <v>0</v>
      </c>
      <c r="AL17" s="2">
        <v>0</v>
      </c>
      <c r="AM17" s="2">
        <v>0</v>
      </c>
      <c r="AN17" s="2">
        <v>0</v>
      </c>
      <c r="AO17" s="2" t="s">
        <v>47</v>
      </c>
      <c r="AP17" s="2">
        <v>1</v>
      </c>
      <c r="AQ17" s="2">
        <v>12</v>
      </c>
    </row>
    <row r="18" spans="1:43" ht="12.75" x14ac:dyDescent="0.2">
      <c r="A18" s="1" t="s">
        <v>81</v>
      </c>
      <c r="B18" s="5">
        <v>25</v>
      </c>
      <c r="C18" s="2">
        <v>4.95</v>
      </c>
      <c r="D18" s="2">
        <v>0.36</v>
      </c>
      <c r="E18" s="2">
        <v>4.3899999999999997</v>
      </c>
      <c r="F18" s="2">
        <v>0.35</v>
      </c>
      <c r="G18" s="4">
        <f t="shared" ref="G18:G40" si="9">E18-C18</f>
        <v>-0.5600000000000005</v>
      </c>
      <c r="H18" s="8">
        <f t="shared" ref="H18:H40" si="10">SQRT((D18*D18)/B18+(F18*F18)/B18)</f>
        <v>0.10041912168506553</v>
      </c>
      <c r="I18" s="2">
        <v>25</v>
      </c>
      <c r="J18" s="2">
        <v>4.6900000000000004</v>
      </c>
      <c r="K18" s="2">
        <v>0.71</v>
      </c>
      <c r="L18" s="2">
        <v>4.66</v>
      </c>
      <c r="M18" s="2">
        <v>0.66</v>
      </c>
      <c r="N18" s="5">
        <f t="shared" ref="N18:N40" si="11">L18-J18</f>
        <v>-3.0000000000000249E-2</v>
      </c>
      <c r="O18" s="10">
        <f t="shared" ref="O18:O40" si="12">SQRT((K18*K18)/I18+(M18*M18)/I18)</f>
        <v>0.19387624919004393</v>
      </c>
      <c r="P18" s="2" t="s">
        <v>125</v>
      </c>
      <c r="Q18" s="2">
        <v>51.1</v>
      </c>
      <c r="R18" s="2">
        <v>0</v>
      </c>
      <c r="S18" s="2">
        <v>23.4</v>
      </c>
      <c r="T18" s="2">
        <v>0</v>
      </c>
      <c r="U18" s="2">
        <v>2.5</v>
      </c>
      <c r="V18" s="2">
        <v>0</v>
      </c>
      <c r="W18" s="2">
        <v>0</v>
      </c>
      <c r="X18" s="2">
        <v>0</v>
      </c>
      <c r="Y18" s="2">
        <v>12</v>
      </c>
      <c r="Z18" s="2">
        <v>0</v>
      </c>
      <c r="AA18" s="2" t="s">
        <v>82</v>
      </c>
      <c r="AB18" s="2">
        <v>1</v>
      </c>
      <c r="AC18" s="2" t="s">
        <v>41</v>
      </c>
      <c r="AD18" s="2">
        <v>1</v>
      </c>
      <c r="AE18" s="2" t="s">
        <v>53</v>
      </c>
      <c r="AF18" s="2">
        <v>0</v>
      </c>
      <c r="AG18" s="2">
        <v>0</v>
      </c>
      <c r="AH18" s="2">
        <v>0</v>
      </c>
      <c r="AI18" s="2">
        <f t="shared" si="4"/>
        <v>50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 t="s">
        <v>47</v>
      </c>
      <c r="AP18" s="2">
        <v>1</v>
      </c>
      <c r="AQ18" s="2">
        <v>12</v>
      </c>
    </row>
    <row r="19" spans="1:43" ht="12.75" x14ac:dyDescent="0.2">
      <c r="A19" s="1" t="s">
        <v>81</v>
      </c>
      <c r="B19" s="5">
        <v>25</v>
      </c>
      <c r="C19" s="2">
        <v>4.8</v>
      </c>
      <c r="D19" s="2">
        <v>0.52</v>
      </c>
      <c r="E19" s="2">
        <v>4.87</v>
      </c>
      <c r="F19" s="2">
        <v>0.63</v>
      </c>
      <c r="G19" s="4">
        <f t="shared" si="9"/>
        <v>7.0000000000000284E-2</v>
      </c>
      <c r="H19" s="8">
        <f t="shared" si="10"/>
        <v>0.1633768649472746</v>
      </c>
      <c r="I19" s="2">
        <v>25</v>
      </c>
      <c r="J19" s="2">
        <v>4.6900000000000004</v>
      </c>
      <c r="K19" s="2">
        <v>0.71</v>
      </c>
      <c r="L19" s="2">
        <v>4.66</v>
      </c>
      <c r="M19" s="2">
        <v>0.66</v>
      </c>
      <c r="N19" s="5">
        <f t="shared" si="11"/>
        <v>-3.0000000000000249E-2</v>
      </c>
      <c r="O19" s="10">
        <f t="shared" si="12"/>
        <v>0.19387624919004393</v>
      </c>
      <c r="P19" s="2" t="s">
        <v>125</v>
      </c>
      <c r="Q19" s="2">
        <v>51.1</v>
      </c>
      <c r="R19" s="2">
        <v>0</v>
      </c>
      <c r="S19" s="2">
        <v>23.4</v>
      </c>
      <c r="T19" s="2">
        <v>0</v>
      </c>
      <c r="U19" s="2">
        <v>2.5</v>
      </c>
      <c r="V19" s="2">
        <v>0</v>
      </c>
      <c r="W19" s="2">
        <v>0</v>
      </c>
      <c r="X19" s="2">
        <v>0</v>
      </c>
      <c r="Y19" s="2">
        <v>12</v>
      </c>
      <c r="Z19" s="2">
        <v>0</v>
      </c>
      <c r="AA19" s="2" t="s">
        <v>82</v>
      </c>
      <c r="AB19" s="2">
        <v>1</v>
      </c>
      <c r="AC19" s="2" t="s">
        <v>41</v>
      </c>
      <c r="AD19" s="2">
        <v>1</v>
      </c>
      <c r="AE19" s="2" t="s">
        <v>74</v>
      </c>
      <c r="AF19" s="2">
        <v>0</v>
      </c>
      <c r="AG19" s="2">
        <v>0</v>
      </c>
      <c r="AH19" s="2">
        <v>0</v>
      </c>
      <c r="AI19" s="2">
        <f t="shared" si="4"/>
        <v>50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 t="s">
        <v>47</v>
      </c>
      <c r="AP19" s="2">
        <v>1</v>
      </c>
      <c r="AQ19" s="2">
        <v>12</v>
      </c>
    </row>
    <row r="20" spans="1:43" ht="13.5" customHeight="1" x14ac:dyDescent="0.2">
      <c r="A20" s="1" t="s">
        <v>83</v>
      </c>
      <c r="B20" s="5">
        <v>22</v>
      </c>
      <c r="C20" s="2">
        <v>5.8</v>
      </c>
      <c r="D20" s="2">
        <v>1.03</v>
      </c>
      <c r="E20" s="2">
        <v>5.47</v>
      </c>
      <c r="F20" s="2">
        <v>0.92</v>
      </c>
      <c r="G20" s="4">
        <f t="shared" si="9"/>
        <v>-0.33000000000000007</v>
      </c>
      <c r="H20" s="8">
        <f t="shared" si="10"/>
        <v>0.29444091859905369</v>
      </c>
      <c r="I20" s="2">
        <v>22</v>
      </c>
      <c r="J20" s="2">
        <v>5.8</v>
      </c>
      <c r="K20" s="2">
        <v>1.03</v>
      </c>
      <c r="L20" s="2">
        <v>5.39</v>
      </c>
      <c r="M20" s="2">
        <v>0.64</v>
      </c>
      <c r="N20" s="5">
        <f t="shared" si="11"/>
        <v>-0.41000000000000014</v>
      </c>
      <c r="O20" s="10">
        <f t="shared" si="12"/>
        <v>0.25853608856581145</v>
      </c>
      <c r="P20" s="2" t="s">
        <v>125</v>
      </c>
      <c r="Q20" s="2">
        <v>58.5</v>
      </c>
      <c r="R20" s="2">
        <v>1</v>
      </c>
      <c r="S20" s="2">
        <v>27.6</v>
      </c>
      <c r="T20" s="2">
        <v>1</v>
      </c>
      <c r="U20" s="2">
        <v>10.33</v>
      </c>
      <c r="V20" s="2">
        <v>1</v>
      </c>
      <c r="W20" s="2">
        <v>1</v>
      </c>
      <c r="X20" s="2">
        <v>1</v>
      </c>
      <c r="Y20" s="2">
        <v>6</v>
      </c>
      <c r="Z20" s="2">
        <v>0</v>
      </c>
      <c r="AA20" s="2" t="s">
        <v>52</v>
      </c>
      <c r="AB20" s="2">
        <v>2</v>
      </c>
      <c r="AC20" s="2" t="s">
        <v>59</v>
      </c>
      <c r="AD20" s="2">
        <v>0</v>
      </c>
      <c r="AE20" s="2" t="s">
        <v>84</v>
      </c>
      <c r="AF20" s="2">
        <v>0</v>
      </c>
      <c r="AG20" s="2">
        <v>1</v>
      </c>
      <c r="AH20" s="2">
        <v>1</v>
      </c>
      <c r="AI20" s="2">
        <f t="shared" si="4"/>
        <v>44</v>
      </c>
      <c r="AJ20" s="2">
        <v>0</v>
      </c>
      <c r="AK20" s="2">
        <v>0</v>
      </c>
      <c r="AL20" s="2">
        <v>0</v>
      </c>
      <c r="AM20" s="2">
        <v>1</v>
      </c>
      <c r="AN20" s="2">
        <v>1</v>
      </c>
      <c r="AO20" s="2" t="s">
        <v>47</v>
      </c>
      <c r="AP20" s="2">
        <v>1</v>
      </c>
      <c r="AQ20" s="2">
        <v>6</v>
      </c>
    </row>
    <row r="21" spans="1:43" ht="12.75" x14ac:dyDescent="0.2">
      <c r="A21" s="1" t="s">
        <v>85</v>
      </c>
      <c r="B21" s="5">
        <v>42</v>
      </c>
      <c r="C21" s="2">
        <v>5.13</v>
      </c>
      <c r="D21" s="2">
        <v>0.85</v>
      </c>
      <c r="E21" s="2">
        <v>4.93</v>
      </c>
      <c r="F21" s="2">
        <v>0.97</v>
      </c>
      <c r="G21" s="4">
        <f t="shared" si="9"/>
        <v>-0.20000000000000018</v>
      </c>
      <c r="H21" s="8">
        <f t="shared" si="10"/>
        <v>0.19900945179755133</v>
      </c>
      <c r="I21" s="2">
        <v>43</v>
      </c>
      <c r="J21" s="2">
        <v>5.48</v>
      </c>
      <c r="K21" s="2">
        <v>1.03</v>
      </c>
      <c r="L21" s="2">
        <v>5.24</v>
      </c>
      <c r="M21" s="2">
        <v>0.9</v>
      </c>
      <c r="N21" s="5">
        <f t="shared" si="11"/>
        <v>-0.24000000000000021</v>
      </c>
      <c r="O21" s="10">
        <f t="shared" si="12"/>
        <v>0.20858883557271563</v>
      </c>
      <c r="P21" s="2" t="s">
        <v>125</v>
      </c>
      <c r="Q21" s="2">
        <v>53.6</v>
      </c>
      <c r="R21" s="2">
        <v>0</v>
      </c>
      <c r="S21" s="2">
        <v>23.3</v>
      </c>
      <c r="T21" s="2">
        <v>0</v>
      </c>
      <c r="U21" s="2">
        <v>3.6</v>
      </c>
      <c r="V21" s="2">
        <v>0</v>
      </c>
      <c r="W21" s="2">
        <v>1</v>
      </c>
      <c r="X21" s="2">
        <v>1</v>
      </c>
      <c r="Y21" s="2">
        <v>12</v>
      </c>
      <c r="Z21" s="2">
        <v>0</v>
      </c>
      <c r="AA21" s="2" t="s">
        <v>86</v>
      </c>
      <c r="AB21" s="2">
        <v>1</v>
      </c>
      <c r="AC21" s="2" t="s">
        <v>41</v>
      </c>
      <c r="AD21" s="2">
        <v>1</v>
      </c>
      <c r="AE21" s="2" t="s">
        <v>60</v>
      </c>
      <c r="AF21" s="2">
        <v>0</v>
      </c>
      <c r="AG21" s="2">
        <v>1</v>
      </c>
      <c r="AH21" s="2">
        <v>1</v>
      </c>
      <c r="AI21" s="2">
        <f t="shared" si="4"/>
        <v>85</v>
      </c>
      <c r="AJ21" s="2">
        <v>1</v>
      </c>
      <c r="AK21" s="2">
        <v>0</v>
      </c>
      <c r="AL21" s="2">
        <v>0</v>
      </c>
      <c r="AM21" s="2">
        <v>0</v>
      </c>
      <c r="AN21" s="2">
        <v>0</v>
      </c>
      <c r="AO21" s="2" t="s">
        <v>47</v>
      </c>
      <c r="AP21" s="2">
        <v>1</v>
      </c>
      <c r="AQ21" s="2">
        <v>12</v>
      </c>
    </row>
    <row r="22" spans="1:43" ht="12.75" x14ac:dyDescent="0.2">
      <c r="A22" s="1" t="s">
        <v>87</v>
      </c>
      <c r="B22" s="5">
        <v>60</v>
      </c>
      <c r="C22" s="2">
        <v>5.83</v>
      </c>
      <c r="D22" s="2">
        <v>0.94</v>
      </c>
      <c r="E22" s="2">
        <v>5.67</v>
      </c>
      <c r="F22" s="2">
        <v>0.87</v>
      </c>
      <c r="G22" s="4">
        <f t="shared" si="9"/>
        <v>-0.16000000000000014</v>
      </c>
      <c r="H22" s="8">
        <f t="shared" si="10"/>
        <v>0.16535315741366013</v>
      </c>
      <c r="I22" s="2">
        <v>60</v>
      </c>
      <c r="J22" s="2">
        <v>5.63</v>
      </c>
      <c r="K22" s="2">
        <v>0.93</v>
      </c>
      <c r="L22" s="2">
        <v>5.43</v>
      </c>
      <c r="M22" s="2">
        <v>0.92</v>
      </c>
      <c r="N22" s="5">
        <f t="shared" si="11"/>
        <v>-0.20000000000000018</v>
      </c>
      <c r="O22" s="10">
        <f t="shared" si="12"/>
        <v>0.16888358909813195</v>
      </c>
      <c r="P22" s="2" t="s">
        <v>125</v>
      </c>
      <c r="Q22" s="2">
        <v>56.12</v>
      </c>
      <c r="R22" s="2">
        <v>1</v>
      </c>
      <c r="S22" s="2">
        <v>24.5</v>
      </c>
      <c r="T22" s="2">
        <v>0</v>
      </c>
      <c r="U22" s="2">
        <v>5.9</v>
      </c>
      <c r="V22" s="2">
        <v>0</v>
      </c>
      <c r="W22" s="2">
        <v>0</v>
      </c>
      <c r="X22" s="2">
        <v>0</v>
      </c>
      <c r="Y22" s="2">
        <v>24</v>
      </c>
      <c r="Z22" s="2">
        <v>1</v>
      </c>
      <c r="AA22" s="2" t="s">
        <v>88</v>
      </c>
      <c r="AB22" s="2">
        <v>1</v>
      </c>
      <c r="AC22" s="2" t="s">
        <v>89</v>
      </c>
      <c r="AD22" s="2">
        <v>1</v>
      </c>
      <c r="AE22" s="2" t="s">
        <v>46</v>
      </c>
      <c r="AF22" s="2">
        <v>0</v>
      </c>
      <c r="AG22" s="2">
        <v>0</v>
      </c>
      <c r="AH22" s="2">
        <v>0</v>
      </c>
      <c r="AI22" s="2">
        <f t="shared" si="4"/>
        <v>120</v>
      </c>
      <c r="AJ22" s="2">
        <v>1</v>
      </c>
      <c r="AK22" s="2">
        <v>0</v>
      </c>
      <c r="AL22" s="2">
        <v>0</v>
      </c>
      <c r="AM22" s="2">
        <v>0</v>
      </c>
      <c r="AN22" s="2">
        <v>0</v>
      </c>
      <c r="AO22" s="2" t="s">
        <v>47</v>
      </c>
      <c r="AP22" s="2">
        <v>1</v>
      </c>
      <c r="AQ22" s="2">
        <v>24</v>
      </c>
    </row>
    <row r="23" spans="1:43" ht="12.75" x14ac:dyDescent="0.2">
      <c r="A23" s="1" t="s">
        <v>91</v>
      </c>
      <c r="B23" s="5">
        <v>90</v>
      </c>
      <c r="C23" s="2">
        <v>5.62</v>
      </c>
      <c r="D23" s="2">
        <v>0.92</v>
      </c>
      <c r="E23" s="2">
        <v>5.55</v>
      </c>
      <c r="F23" s="2">
        <v>0.85</v>
      </c>
      <c r="G23" s="4">
        <f t="shared" si="9"/>
        <v>-7.0000000000000284E-2</v>
      </c>
      <c r="H23" s="8">
        <f t="shared" si="10"/>
        <v>0.13203114110777889</v>
      </c>
      <c r="I23" s="2">
        <v>90</v>
      </c>
      <c r="J23" s="2">
        <v>5.69</v>
      </c>
      <c r="K23" s="2">
        <v>0.97</v>
      </c>
      <c r="L23" s="2">
        <v>5.86</v>
      </c>
      <c r="M23" s="2">
        <v>0.92</v>
      </c>
      <c r="N23" s="5">
        <f t="shared" si="11"/>
        <v>0.16999999999999993</v>
      </c>
      <c r="O23" s="10">
        <f t="shared" si="12"/>
        <v>0.14092156999156974</v>
      </c>
      <c r="P23" s="2" t="s">
        <v>125</v>
      </c>
      <c r="Q23" s="2">
        <v>57.9</v>
      </c>
      <c r="R23" s="2">
        <v>1</v>
      </c>
      <c r="T23" s="2">
        <v>2</v>
      </c>
      <c r="U23" s="2">
        <v>9</v>
      </c>
      <c r="V23" s="2">
        <v>1</v>
      </c>
      <c r="W23" s="2">
        <v>0</v>
      </c>
      <c r="X23" s="2">
        <v>0</v>
      </c>
      <c r="Y23" s="2">
        <v>24</v>
      </c>
      <c r="Z23" s="2">
        <v>1</v>
      </c>
      <c r="AA23" s="2" t="s">
        <v>90</v>
      </c>
      <c r="AB23" s="2">
        <v>1</v>
      </c>
      <c r="AC23" s="2" t="s">
        <v>41</v>
      </c>
      <c r="AD23" s="2">
        <v>1</v>
      </c>
      <c r="AE23" s="2" t="s">
        <v>92</v>
      </c>
      <c r="AF23" s="2">
        <v>0</v>
      </c>
      <c r="AG23" s="2">
        <v>1</v>
      </c>
      <c r="AH23" s="2">
        <v>1</v>
      </c>
      <c r="AI23" s="2">
        <f t="shared" si="4"/>
        <v>180</v>
      </c>
      <c r="AJ23" s="2">
        <v>1</v>
      </c>
      <c r="AK23" s="2">
        <v>0</v>
      </c>
      <c r="AL23" s="2">
        <v>0</v>
      </c>
      <c r="AM23" s="2">
        <v>0</v>
      </c>
      <c r="AN23" s="2">
        <v>0</v>
      </c>
      <c r="AO23" s="2" t="s">
        <v>47</v>
      </c>
      <c r="AP23" s="2">
        <v>1</v>
      </c>
      <c r="AQ23" s="2">
        <v>24</v>
      </c>
    </row>
    <row r="24" spans="1:43" ht="12.75" x14ac:dyDescent="0.2">
      <c r="A24" s="1" t="s">
        <v>93</v>
      </c>
      <c r="B24" s="5">
        <v>30</v>
      </c>
      <c r="C24" s="2">
        <v>6.53</v>
      </c>
      <c r="D24" s="2">
        <v>0.73</v>
      </c>
      <c r="E24" s="2">
        <v>6.36</v>
      </c>
      <c r="F24" s="2">
        <v>0.82</v>
      </c>
      <c r="G24" s="4">
        <f t="shared" si="9"/>
        <v>-0.16999999999999993</v>
      </c>
      <c r="H24" s="8">
        <f t="shared" si="10"/>
        <v>0.20044118006703779</v>
      </c>
      <c r="I24" s="2">
        <v>30</v>
      </c>
      <c r="J24" s="2">
        <v>6.43</v>
      </c>
      <c r="K24" s="2">
        <v>0.81</v>
      </c>
      <c r="L24" s="2">
        <v>6.72</v>
      </c>
      <c r="M24" s="2">
        <v>0.77</v>
      </c>
      <c r="N24" s="5">
        <f t="shared" si="11"/>
        <v>0.29000000000000004</v>
      </c>
      <c r="O24" s="10">
        <f t="shared" si="12"/>
        <v>0.2040424792373719</v>
      </c>
      <c r="P24" s="2" t="s">
        <v>125</v>
      </c>
      <c r="Q24" s="2">
        <v>53.4</v>
      </c>
      <c r="R24" s="2">
        <v>0</v>
      </c>
      <c r="S24" s="2">
        <v>24.2</v>
      </c>
      <c r="T24" s="2">
        <v>0</v>
      </c>
      <c r="V24" s="2">
        <v>2</v>
      </c>
      <c r="W24" s="2">
        <v>1</v>
      </c>
      <c r="X24" s="2">
        <v>1</v>
      </c>
      <c r="Y24" s="2">
        <v>12</v>
      </c>
      <c r="Z24" s="2">
        <v>0</v>
      </c>
      <c r="AA24" s="2" t="s">
        <v>94</v>
      </c>
      <c r="AB24" s="2">
        <v>1</v>
      </c>
      <c r="AC24" s="2" t="s">
        <v>41</v>
      </c>
      <c r="AD24" s="2">
        <v>1</v>
      </c>
      <c r="AE24" s="2" t="s">
        <v>46</v>
      </c>
      <c r="AF24" s="2">
        <v>0</v>
      </c>
      <c r="AG24" s="2">
        <v>0</v>
      </c>
      <c r="AH24" s="2">
        <v>0</v>
      </c>
      <c r="AI24" s="2">
        <f t="shared" si="4"/>
        <v>60</v>
      </c>
      <c r="AJ24" s="2">
        <v>1</v>
      </c>
      <c r="AK24" s="2">
        <v>1</v>
      </c>
      <c r="AL24" s="2">
        <v>1</v>
      </c>
      <c r="AM24" s="2">
        <v>0</v>
      </c>
      <c r="AN24" s="2">
        <v>0</v>
      </c>
      <c r="AO24" s="2" t="s">
        <v>54</v>
      </c>
      <c r="AP24" s="2">
        <v>2</v>
      </c>
      <c r="AQ24" s="2">
        <v>12</v>
      </c>
    </row>
    <row r="25" spans="1:43" ht="12.75" x14ac:dyDescent="0.2">
      <c r="A25" s="1" t="s">
        <v>95</v>
      </c>
      <c r="B25" s="5">
        <v>10</v>
      </c>
      <c r="C25" s="2">
        <v>5.95</v>
      </c>
      <c r="D25" s="2">
        <v>0.71</v>
      </c>
      <c r="E25" s="2">
        <v>5.2</v>
      </c>
      <c r="F25" s="2">
        <v>0.76</v>
      </c>
      <c r="G25" s="4">
        <f t="shared" si="9"/>
        <v>-0.75</v>
      </c>
      <c r="H25" s="8">
        <f t="shared" si="10"/>
        <v>0.3288920795641026</v>
      </c>
      <c r="I25" s="2">
        <v>11</v>
      </c>
      <c r="J25" s="2">
        <v>5.76</v>
      </c>
      <c r="K25" s="2">
        <v>0.98</v>
      </c>
      <c r="L25" s="2">
        <v>5.57</v>
      </c>
      <c r="M25" s="2">
        <v>0.93</v>
      </c>
      <c r="N25" s="5">
        <f t="shared" si="11"/>
        <v>-0.1899999999999995</v>
      </c>
      <c r="O25" s="10">
        <f t="shared" si="12"/>
        <v>0.40735287360759304</v>
      </c>
      <c r="P25" s="2" t="s">
        <v>125</v>
      </c>
      <c r="Q25" s="2">
        <v>59.5</v>
      </c>
      <c r="R25" s="2">
        <v>1</v>
      </c>
      <c r="S25" s="2">
        <v>26.9</v>
      </c>
      <c r="T25" s="2">
        <v>1</v>
      </c>
      <c r="U25" s="2">
        <v>10.6</v>
      </c>
      <c r="V25" s="2">
        <v>1</v>
      </c>
      <c r="W25" s="2">
        <v>1</v>
      </c>
      <c r="X25" s="2">
        <v>1</v>
      </c>
      <c r="Y25" s="2">
        <v>16</v>
      </c>
      <c r="Z25" s="2">
        <v>1</v>
      </c>
      <c r="AA25" s="2" t="s">
        <v>96</v>
      </c>
      <c r="AB25" s="2">
        <v>4</v>
      </c>
      <c r="AC25" s="2" t="s">
        <v>41</v>
      </c>
      <c r="AD25" s="2">
        <v>1</v>
      </c>
      <c r="AE25" s="2" t="s">
        <v>97</v>
      </c>
      <c r="AF25" s="2">
        <v>0</v>
      </c>
      <c r="AG25" s="2">
        <v>1</v>
      </c>
      <c r="AH25" s="2">
        <v>1</v>
      </c>
      <c r="AI25" s="2">
        <f t="shared" si="4"/>
        <v>21</v>
      </c>
      <c r="AJ25" s="2">
        <v>0</v>
      </c>
      <c r="AK25" s="2">
        <v>0</v>
      </c>
      <c r="AL25" s="2">
        <v>0</v>
      </c>
      <c r="AM25" s="2">
        <v>1</v>
      </c>
      <c r="AN25" s="2">
        <v>1</v>
      </c>
      <c r="AO25" s="2" t="s">
        <v>43</v>
      </c>
      <c r="AP25" s="2">
        <v>0</v>
      </c>
      <c r="AQ25" s="2">
        <v>16</v>
      </c>
    </row>
    <row r="26" spans="1:43" x14ac:dyDescent="0.2">
      <c r="A26" s="2" t="s">
        <v>98</v>
      </c>
      <c r="B26" s="2">
        <v>38</v>
      </c>
      <c r="C26" s="2">
        <v>5.56</v>
      </c>
      <c r="D26" s="2">
        <v>0.92</v>
      </c>
      <c r="E26" s="2">
        <v>5.62</v>
      </c>
      <c r="F26" s="2">
        <v>1.03</v>
      </c>
      <c r="G26" s="2">
        <f t="shared" si="9"/>
        <v>6.0000000000000497E-2</v>
      </c>
      <c r="H26" s="9">
        <f t="shared" si="10"/>
        <v>0.22403594636387683</v>
      </c>
      <c r="I26" s="2">
        <v>38</v>
      </c>
      <c r="J26" s="2">
        <v>5.37</v>
      </c>
      <c r="K26" s="2">
        <v>0.97</v>
      </c>
      <c r="L26" s="2">
        <v>5.44</v>
      </c>
      <c r="M26" s="2">
        <v>0.97</v>
      </c>
      <c r="N26" s="2">
        <f t="shared" si="11"/>
        <v>7.0000000000000284E-2</v>
      </c>
      <c r="O26" s="9">
        <f t="shared" si="12"/>
        <v>0.22253326185444491</v>
      </c>
      <c r="P26" s="2" t="s">
        <v>125</v>
      </c>
      <c r="Q26" s="2">
        <v>55.7</v>
      </c>
      <c r="R26" s="2">
        <v>0</v>
      </c>
      <c r="S26" s="2">
        <v>29.1</v>
      </c>
      <c r="T26" s="2">
        <v>0</v>
      </c>
      <c r="U26" s="2">
        <v>6.85</v>
      </c>
      <c r="V26" s="2">
        <v>0</v>
      </c>
      <c r="W26" s="2">
        <v>1</v>
      </c>
      <c r="X26" s="2">
        <v>1</v>
      </c>
      <c r="Y26" s="2">
        <v>10</v>
      </c>
      <c r="Z26" s="2">
        <v>0</v>
      </c>
      <c r="AA26" s="2" t="s">
        <v>96</v>
      </c>
      <c r="AB26" s="2">
        <v>4</v>
      </c>
      <c r="AC26" s="2" t="s">
        <v>89</v>
      </c>
      <c r="AD26" s="2">
        <v>1</v>
      </c>
      <c r="AE26" s="2" t="s">
        <v>39</v>
      </c>
      <c r="AF26" s="2">
        <v>0</v>
      </c>
      <c r="AG26" s="2">
        <v>1</v>
      </c>
      <c r="AH26" s="2">
        <v>1</v>
      </c>
      <c r="AI26" s="2">
        <f t="shared" si="4"/>
        <v>76</v>
      </c>
      <c r="AJ26" s="2">
        <v>1</v>
      </c>
      <c r="AK26" s="2">
        <v>0</v>
      </c>
      <c r="AL26" s="2">
        <v>0</v>
      </c>
      <c r="AM26" s="2">
        <v>0</v>
      </c>
      <c r="AN26" s="2">
        <v>0</v>
      </c>
      <c r="AO26" s="2" t="s">
        <v>54</v>
      </c>
      <c r="AP26" s="2">
        <v>2</v>
      </c>
      <c r="AQ26" s="2">
        <v>10</v>
      </c>
    </row>
    <row r="27" spans="1:43" ht="12.75" x14ac:dyDescent="0.2">
      <c r="A27" s="1" t="s">
        <v>99</v>
      </c>
      <c r="B27" s="5">
        <v>16</v>
      </c>
      <c r="C27" s="2">
        <v>5.96</v>
      </c>
      <c r="D27" s="2">
        <v>0.98</v>
      </c>
      <c r="E27" s="2">
        <v>5.91</v>
      </c>
      <c r="F27" s="2">
        <v>0.64</v>
      </c>
      <c r="G27" s="4">
        <f t="shared" si="9"/>
        <v>-4.9999999999999822E-2</v>
      </c>
      <c r="H27" s="8">
        <f t="shared" si="10"/>
        <v>0.29261749776799062</v>
      </c>
      <c r="I27" s="2">
        <v>16</v>
      </c>
      <c r="J27" s="2">
        <v>5.96</v>
      </c>
      <c r="K27" s="2">
        <v>0.98</v>
      </c>
      <c r="L27" s="2">
        <v>6.11</v>
      </c>
      <c r="M27" s="2">
        <v>0.82</v>
      </c>
      <c r="N27" s="5">
        <f t="shared" si="11"/>
        <v>0.15000000000000036</v>
      </c>
      <c r="O27" s="10">
        <f t="shared" si="12"/>
        <v>0.31945265689926572</v>
      </c>
      <c r="P27" s="2" t="s">
        <v>125</v>
      </c>
      <c r="Q27" s="2">
        <v>55.7</v>
      </c>
      <c r="R27" s="2">
        <v>0</v>
      </c>
      <c r="S27" s="2">
        <v>25.2</v>
      </c>
      <c r="T27" s="2">
        <v>0</v>
      </c>
      <c r="V27" s="2">
        <v>2</v>
      </c>
      <c r="W27" s="2">
        <v>1</v>
      </c>
      <c r="X27" s="2">
        <v>1</v>
      </c>
      <c r="Y27" s="2">
        <v>5</v>
      </c>
      <c r="Z27" s="2">
        <v>0</v>
      </c>
      <c r="AA27" s="2" t="s">
        <v>80</v>
      </c>
      <c r="AB27" s="2">
        <v>1</v>
      </c>
      <c r="AC27" s="2" t="s">
        <v>59</v>
      </c>
      <c r="AD27" s="2">
        <v>0</v>
      </c>
      <c r="AE27" s="2" t="s">
        <v>60</v>
      </c>
      <c r="AF27" s="2">
        <v>2</v>
      </c>
      <c r="AG27" s="2">
        <v>1</v>
      </c>
      <c r="AH27" s="2">
        <v>1</v>
      </c>
      <c r="AI27" s="2">
        <f t="shared" si="4"/>
        <v>32</v>
      </c>
      <c r="AJ27" s="2">
        <v>0</v>
      </c>
      <c r="AK27" s="2">
        <v>0</v>
      </c>
      <c r="AL27" s="2">
        <v>0</v>
      </c>
      <c r="AM27" s="2">
        <v>1</v>
      </c>
      <c r="AN27" s="2">
        <v>1</v>
      </c>
      <c r="AO27" s="2" t="s">
        <v>43</v>
      </c>
      <c r="AP27" s="2">
        <v>0</v>
      </c>
      <c r="AQ27" s="2">
        <v>5</v>
      </c>
    </row>
    <row r="28" spans="1:43" ht="12.75" x14ac:dyDescent="0.2">
      <c r="A28" s="1" t="s">
        <v>100</v>
      </c>
      <c r="B28" s="5">
        <v>56</v>
      </c>
      <c r="C28" s="2">
        <v>5.88</v>
      </c>
      <c r="D28" s="2">
        <v>0.97</v>
      </c>
      <c r="E28" s="2">
        <v>6.02</v>
      </c>
      <c r="F28" s="2">
        <v>1.46</v>
      </c>
      <c r="G28" s="4">
        <f t="shared" si="9"/>
        <v>0.13999999999999968</v>
      </c>
      <c r="H28" s="8">
        <f t="shared" si="10"/>
        <v>0.23423507728043513</v>
      </c>
      <c r="I28" s="2">
        <v>56</v>
      </c>
      <c r="J28" s="2">
        <v>5.83</v>
      </c>
      <c r="K28" s="2">
        <v>1.04</v>
      </c>
      <c r="L28" s="2">
        <v>5.91</v>
      </c>
      <c r="M28" s="2">
        <v>1.1299999999999999</v>
      </c>
      <c r="N28" s="5">
        <f t="shared" si="11"/>
        <v>8.0000000000000071E-2</v>
      </c>
      <c r="O28" s="10">
        <f t="shared" si="12"/>
        <v>0.20522200522500364</v>
      </c>
      <c r="P28" s="2" t="s">
        <v>125</v>
      </c>
      <c r="Q28" s="2">
        <v>54</v>
      </c>
      <c r="R28" s="2">
        <v>0</v>
      </c>
      <c r="S28" s="2">
        <v>26.25</v>
      </c>
      <c r="T28" s="2">
        <v>1</v>
      </c>
      <c r="U28" s="2">
        <v>5.3</v>
      </c>
      <c r="V28" s="2">
        <v>0</v>
      </c>
      <c r="W28" s="2">
        <v>1</v>
      </c>
      <c r="X28" s="2">
        <v>1</v>
      </c>
      <c r="Y28" s="2">
        <v>12</v>
      </c>
      <c r="Z28" s="2">
        <v>0</v>
      </c>
      <c r="AA28" s="2" t="s">
        <v>101</v>
      </c>
      <c r="AB28" s="2">
        <v>0</v>
      </c>
      <c r="AC28" s="2" t="s">
        <v>59</v>
      </c>
      <c r="AD28" s="2">
        <v>0</v>
      </c>
      <c r="AE28" s="2" t="s">
        <v>102</v>
      </c>
      <c r="AF28" s="2">
        <v>0</v>
      </c>
      <c r="AG28" s="2">
        <v>0</v>
      </c>
      <c r="AH28" s="2">
        <v>0</v>
      </c>
      <c r="AI28" s="2">
        <f t="shared" si="4"/>
        <v>112</v>
      </c>
      <c r="AJ28" s="2">
        <v>1</v>
      </c>
      <c r="AK28" s="2">
        <v>0</v>
      </c>
      <c r="AL28" s="2">
        <v>0</v>
      </c>
      <c r="AM28" s="2">
        <v>1</v>
      </c>
      <c r="AN28" s="2">
        <v>1</v>
      </c>
      <c r="AO28" s="2" t="s">
        <v>47</v>
      </c>
      <c r="AP28" s="2">
        <v>1</v>
      </c>
      <c r="AQ28" s="2">
        <v>12</v>
      </c>
    </row>
    <row r="29" spans="1:43" ht="12.75" x14ac:dyDescent="0.2">
      <c r="A29" s="1" t="s">
        <v>103</v>
      </c>
      <c r="B29" s="5">
        <v>25</v>
      </c>
      <c r="C29" s="2">
        <v>5.3</v>
      </c>
      <c r="D29" s="2">
        <v>0.9</v>
      </c>
      <c r="E29" s="2">
        <v>5.19</v>
      </c>
      <c r="F29" s="2">
        <v>1.1000000000000001</v>
      </c>
      <c r="G29" s="4">
        <f t="shared" si="9"/>
        <v>-0.10999999999999943</v>
      </c>
      <c r="H29" s="8">
        <f t="shared" si="10"/>
        <v>0.28425340807103794</v>
      </c>
      <c r="I29" s="2">
        <v>22</v>
      </c>
      <c r="J29" s="2">
        <v>5.77</v>
      </c>
      <c r="K29" s="2">
        <v>1.52</v>
      </c>
      <c r="L29" s="2">
        <v>5.67</v>
      </c>
      <c r="M29" s="2">
        <v>1.27</v>
      </c>
      <c r="N29" s="5">
        <f t="shared" si="11"/>
        <v>-9.9999999999999645E-2</v>
      </c>
      <c r="O29" s="10">
        <f t="shared" si="12"/>
        <v>0.42229352135904025</v>
      </c>
      <c r="P29" s="2" t="s">
        <v>125</v>
      </c>
      <c r="Q29" s="2">
        <v>55.7</v>
      </c>
      <c r="R29" s="2">
        <v>0</v>
      </c>
      <c r="S29" s="2">
        <v>26.5</v>
      </c>
      <c r="T29" s="2">
        <v>1</v>
      </c>
      <c r="U29" s="2">
        <v>7.9</v>
      </c>
      <c r="V29" s="2">
        <v>1</v>
      </c>
      <c r="W29" s="2">
        <v>0</v>
      </c>
      <c r="X29" s="2">
        <v>0</v>
      </c>
      <c r="Y29" s="2">
        <v>24</v>
      </c>
      <c r="Z29" s="2">
        <v>1</v>
      </c>
      <c r="AA29" s="2" t="s">
        <v>96</v>
      </c>
      <c r="AB29" s="2">
        <v>4</v>
      </c>
      <c r="AC29" s="2" t="s">
        <v>41</v>
      </c>
      <c r="AD29" s="2">
        <v>1</v>
      </c>
      <c r="AE29" s="2" t="s">
        <v>84</v>
      </c>
      <c r="AF29" s="2">
        <v>0</v>
      </c>
      <c r="AG29" s="2">
        <v>1</v>
      </c>
      <c r="AH29" s="2">
        <v>1</v>
      </c>
      <c r="AI29" s="2">
        <f t="shared" si="4"/>
        <v>47</v>
      </c>
      <c r="AJ29" s="2">
        <v>0</v>
      </c>
      <c r="AK29" s="2">
        <v>0</v>
      </c>
      <c r="AL29" s="2">
        <v>0</v>
      </c>
      <c r="AM29" s="2">
        <v>1</v>
      </c>
      <c r="AN29" s="2">
        <v>1</v>
      </c>
      <c r="AO29" s="2" t="s">
        <v>43</v>
      </c>
      <c r="AP29" s="2">
        <v>0</v>
      </c>
      <c r="AQ29" s="2">
        <v>24</v>
      </c>
    </row>
    <row r="30" spans="1:43" ht="12.75" x14ac:dyDescent="0.2">
      <c r="A30" s="1" t="s">
        <v>104</v>
      </c>
      <c r="B30" s="5">
        <v>21</v>
      </c>
      <c r="C30" s="2">
        <v>7.54</v>
      </c>
      <c r="D30" s="2">
        <v>0.36</v>
      </c>
      <c r="E30" s="2">
        <v>7.09</v>
      </c>
      <c r="F30" s="2">
        <v>0.45</v>
      </c>
      <c r="G30" s="4">
        <f t="shared" si="9"/>
        <v>-0.45000000000000018</v>
      </c>
      <c r="H30" s="8">
        <f t="shared" si="10"/>
        <v>0.12575486358103893</v>
      </c>
      <c r="I30" s="2">
        <v>21</v>
      </c>
      <c r="J30" s="2">
        <v>7.43</v>
      </c>
      <c r="K30" s="2">
        <v>0.42</v>
      </c>
      <c r="L30" s="2">
        <v>7.51</v>
      </c>
      <c r="M30" s="2">
        <v>0.53</v>
      </c>
      <c r="N30" s="5">
        <f t="shared" si="11"/>
        <v>8.0000000000000071E-2</v>
      </c>
      <c r="O30" s="10">
        <f t="shared" si="12"/>
        <v>0.14756757935329318</v>
      </c>
      <c r="P30" s="2" t="s">
        <v>125</v>
      </c>
      <c r="Q30" s="2">
        <v>55</v>
      </c>
      <c r="R30" s="2">
        <v>0</v>
      </c>
      <c r="S30" s="2">
        <v>26.9</v>
      </c>
      <c r="T30" s="2">
        <v>1</v>
      </c>
      <c r="V30" s="2">
        <v>2</v>
      </c>
      <c r="W30" s="2">
        <v>0</v>
      </c>
      <c r="X30" s="2">
        <v>0</v>
      </c>
      <c r="Y30" s="2">
        <v>10</v>
      </c>
      <c r="Z30" s="2">
        <v>0</v>
      </c>
      <c r="AA30" s="2" t="s">
        <v>45</v>
      </c>
      <c r="AB30" s="2">
        <v>5</v>
      </c>
      <c r="AC30" s="2" t="s">
        <v>41</v>
      </c>
      <c r="AD30" s="2">
        <v>1</v>
      </c>
      <c r="AE30" s="2" t="s">
        <v>50</v>
      </c>
      <c r="AF30" s="2">
        <v>0</v>
      </c>
      <c r="AG30" s="2">
        <v>0</v>
      </c>
      <c r="AH30" s="2">
        <v>0</v>
      </c>
      <c r="AI30" s="2">
        <f t="shared" si="4"/>
        <v>42</v>
      </c>
      <c r="AJ30" s="2">
        <v>0</v>
      </c>
      <c r="AK30" s="2">
        <v>0</v>
      </c>
      <c r="AL30" s="2">
        <v>0</v>
      </c>
      <c r="AM30" s="2">
        <v>1</v>
      </c>
      <c r="AN30" s="2">
        <v>1</v>
      </c>
      <c r="AO30" s="2" t="s">
        <v>43</v>
      </c>
      <c r="AP30" s="2">
        <v>0</v>
      </c>
      <c r="AQ30" s="2">
        <v>10</v>
      </c>
    </row>
    <row r="31" spans="1:43" ht="12.75" x14ac:dyDescent="0.2">
      <c r="A31" s="1" t="s">
        <v>105</v>
      </c>
      <c r="B31" s="5">
        <v>28</v>
      </c>
      <c r="C31" s="2">
        <v>4.91</v>
      </c>
      <c r="D31" s="2">
        <v>0.53</v>
      </c>
      <c r="E31" s="2">
        <v>4.82</v>
      </c>
      <c r="F31" s="2">
        <v>0.53</v>
      </c>
      <c r="G31" s="4">
        <f t="shared" si="9"/>
        <v>-8.9999999999999858E-2</v>
      </c>
      <c r="H31" s="8">
        <f t="shared" si="10"/>
        <v>0.14164845821358493</v>
      </c>
      <c r="I31" s="2">
        <v>28</v>
      </c>
      <c r="J31" s="2">
        <v>4.91</v>
      </c>
      <c r="K31" s="2">
        <v>0.53</v>
      </c>
      <c r="L31" s="2">
        <v>5</v>
      </c>
      <c r="M31" s="2">
        <v>0.53</v>
      </c>
      <c r="N31" s="5">
        <f t="shared" si="11"/>
        <v>8.9999999999999858E-2</v>
      </c>
      <c r="O31" s="10">
        <f t="shared" si="12"/>
        <v>0.14164845821358493</v>
      </c>
      <c r="P31" s="2" t="s">
        <v>125</v>
      </c>
      <c r="Q31" s="2">
        <v>54.9</v>
      </c>
      <c r="R31" s="2">
        <v>0</v>
      </c>
      <c r="S31" s="2">
        <v>24.6</v>
      </c>
      <c r="T31" s="2">
        <v>0</v>
      </c>
      <c r="V31" s="2">
        <v>2</v>
      </c>
      <c r="W31" s="2">
        <v>0</v>
      </c>
      <c r="X31" s="2">
        <v>0</v>
      </c>
      <c r="Y31" s="2">
        <v>6</v>
      </c>
      <c r="Z31" s="2">
        <v>0</v>
      </c>
      <c r="AA31" s="2" t="s">
        <v>106</v>
      </c>
      <c r="AB31" s="2">
        <v>2</v>
      </c>
      <c r="AC31" s="2" t="s">
        <v>59</v>
      </c>
      <c r="AD31" s="2">
        <v>0</v>
      </c>
      <c r="AE31" s="2" t="s">
        <v>107</v>
      </c>
      <c r="AF31" s="2">
        <v>0</v>
      </c>
      <c r="AG31" s="2">
        <v>1</v>
      </c>
      <c r="AH31" s="2">
        <v>1</v>
      </c>
      <c r="AI31" s="2">
        <f t="shared" si="4"/>
        <v>56</v>
      </c>
      <c r="AJ31" s="2">
        <v>1</v>
      </c>
      <c r="AK31" s="2">
        <v>0</v>
      </c>
      <c r="AL31" s="2">
        <v>0</v>
      </c>
      <c r="AM31" s="2">
        <v>0</v>
      </c>
      <c r="AN31" s="2">
        <v>0</v>
      </c>
      <c r="AO31" s="2" t="s">
        <v>47</v>
      </c>
      <c r="AP31" s="2">
        <v>1</v>
      </c>
      <c r="AQ31" s="2">
        <v>6</v>
      </c>
    </row>
    <row r="32" spans="1:43" ht="12.75" x14ac:dyDescent="0.2">
      <c r="A32" s="1" t="s">
        <v>108</v>
      </c>
      <c r="B32" s="5">
        <v>19</v>
      </c>
      <c r="C32" s="2">
        <v>6.2</v>
      </c>
      <c r="D32" s="2">
        <v>1.31</v>
      </c>
      <c r="E32" s="2">
        <v>5.2</v>
      </c>
      <c r="F32" s="2">
        <v>0.31</v>
      </c>
      <c r="G32" s="4">
        <f t="shared" si="9"/>
        <v>-1</v>
      </c>
      <c r="H32" s="8">
        <f t="shared" si="10"/>
        <v>0.30883482214352231</v>
      </c>
      <c r="I32" s="2">
        <v>21</v>
      </c>
      <c r="J32" s="2">
        <v>5.8</v>
      </c>
      <c r="K32" s="2">
        <v>0.92</v>
      </c>
      <c r="L32" s="2">
        <v>5.3</v>
      </c>
      <c r="M32" s="2">
        <v>0.92</v>
      </c>
      <c r="N32" s="5">
        <f t="shared" si="11"/>
        <v>-0.5</v>
      </c>
      <c r="O32" s="10">
        <f t="shared" si="12"/>
        <v>0.2839181639302491</v>
      </c>
      <c r="P32" s="2" t="s">
        <v>125</v>
      </c>
      <c r="Q32" s="2">
        <v>59.45</v>
      </c>
      <c r="R32" s="2">
        <v>1</v>
      </c>
      <c r="S32" s="2">
        <v>26</v>
      </c>
      <c r="T32" s="2">
        <v>0</v>
      </c>
      <c r="V32" s="2">
        <v>2</v>
      </c>
      <c r="W32" s="2">
        <v>0</v>
      </c>
      <c r="X32" s="2">
        <v>0</v>
      </c>
      <c r="Y32" s="2">
        <v>12</v>
      </c>
      <c r="Z32" s="2">
        <v>0</v>
      </c>
      <c r="AA32" s="2" t="s">
        <v>109</v>
      </c>
      <c r="AB32" s="2">
        <v>1</v>
      </c>
      <c r="AC32" s="2" t="s">
        <v>41</v>
      </c>
      <c r="AD32" s="2">
        <v>1</v>
      </c>
      <c r="AE32" s="2" t="s">
        <v>110</v>
      </c>
      <c r="AF32" s="2">
        <v>0</v>
      </c>
      <c r="AG32" s="2">
        <v>1</v>
      </c>
      <c r="AH32" s="2">
        <v>1</v>
      </c>
      <c r="AI32" s="2">
        <f t="shared" si="4"/>
        <v>40</v>
      </c>
      <c r="AJ32" s="2">
        <v>0</v>
      </c>
      <c r="AK32" s="2">
        <v>0</v>
      </c>
      <c r="AL32" s="2">
        <v>0</v>
      </c>
      <c r="AM32" s="2">
        <v>1</v>
      </c>
      <c r="AN32" s="2">
        <v>1</v>
      </c>
      <c r="AO32" s="2" t="s">
        <v>47</v>
      </c>
      <c r="AP32" s="2">
        <v>1</v>
      </c>
      <c r="AQ32" s="2">
        <v>12</v>
      </c>
    </row>
    <row r="33" spans="1:43" ht="12.75" x14ac:dyDescent="0.2">
      <c r="A33" s="1" t="s">
        <v>111</v>
      </c>
      <c r="B33" s="5">
        <v>23</v>
      </c>
      <c r="C33" s="2">
        <v>6.89</v>
      </c>
      <c r="D33" s="2">
        <v>0.47</v>
      </c>
      <c r="E33" s="2">
        <v>5.25</v>
      </c>
      <c r="F33" s="2">
        <v>0.41</v>
      </c>
      <c r="G33" s="4">
        <f t="shared" si="9"/>
        <v>-1.6399999999999997</v>
      </c>
      <c r="H33" s="8">
        <f t="shared" si="10"/>
        <v>0.13005015754800478</v>
      </c>
      <c r="I33" s="2">
        <v>25</v>
      </c>
      <c r="J33" s="2">
        <v>6.87</v>
      </c>
      <c r="K33" s="2">
        <v>0.51</v>
      </c>
      <c r="L33" s="2">
        <v>7.13</v>
      </c>
      <c r="M33" s="2">
        <v>0.49</v>
      </c>
      <c r="N33" s="5">
        <f t="shared" si="11"/>
        <v>0.25999999999999979</v>
      </c>
      <c r="O33" s="10">
        <f t="shared" si="12"/>
        <v>0.14144963768069538</v>
      </c>
      <c r="P33" s="2" t="s">
        <v>125</v>
      </c>
      <c r="Q33" s="2">
        <v>55.7</v>
      </c>
      <c r="R33" s="2">
        <v>0</v>
      </c>
      <c r="S33" s="2">
        <v>26.6</v>
      </c>
      <c r="T33" s="2">
        <v>1</v>
      </c>
      <c r="V33" s="2">
        <v>2</v>
      </c>
      <c r="W33" s="2">
        <v>1</v>
      </c>
      <c r="X33" s="2">
        <v>1</v>
      </c>
      <c r="Y33" s="2">
        <v>72</v>
      </c>
      <c r="Z33" s="2">
        <v>1</v>
      </c>
      <c r="AA33" s="2" t="s">
        <v>112</v>
      </c>
      <c r="AB33" s="2">
        <v>0</v>
      </c>
      <c r="AC33" s="2" t="s">
        <v>59</v>
      </c>
      <c r="AD33" s="2">
        <v>0</v>
      </c>
      <c r="AE33" s="2" t="s">
        <v>113</v>
      </c>
      <c r="AF33" s="2">
        <v>0</v>
      </c>
      <c r="AG33" s="2">
        <v>1</v>
      </c>
      <c r="AH33" s="2">
        <v>1</v>
      </c>
      <c r="AI33" s="2">
        <f t="shared" si="4"/>
        <v>48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 t="s">
        <v>54</v>
      </c>
      <c r="AP33" s="2">
        <v>2</v>
      </c>
      <c r="AQ33" s="2">
        <v>72</v>
      </c>
    </row>
    <row r="34" spans="1:43" ht="12.75" x14ac:dyDescent="0.2">
      <c r="A34" s="1" t="s">
        <v>114</v>
      </c>
      <c r="B34" s="2">
        <v>45</v>
      </c>
      <c r="C34" s="2">
        <v>6.82</v>
      </c>
      <c r="D34" s="2">
        <v>0.96</v>
      </c>
      <c r="E34" s="2">
        <v>6.38</v>
      </c>
      <c r="F34" s="2">
        <v>0.77</v>
      </c>
      <c r="G34" s="4">
        <f t="shared" si="9"/>
        <v>-0.44000000000000039</v>
      </c>
      <c r="H34" s="8">
        <f t="shared" si="10"/>
        <v>0.1834545054108935</v>
      </c>
      <c r="I34" s="2">
        <v>45</v>
      </c>
      <c r="J34" s="2">
        <v>6.29</v>
      </c>
      <c r="K34" s="2">
        <v>0.76</v>
      </c>
      <c r="L34" s="2">
        <v>6.45</v>
      </c>
      <c r="M34" s="2">
        <v>0.76</v>
      </c>
      <c r="N34" s="5">
        <f t="shared" si="11"/>
        <v>0.16000000000000014</v>
      </c>
      <c r="O34" s="10">
        <f t="shared" si="12"/>
        <v>0.16022206811519787</v>
      </c>
      <c r="P34" s="2" t="s">
        <v>125</v>
      </c>
      <c r="Q34" s="2">
        <v>51.5</v>
      </c>
      <c r="R34" s="2">
        <v>0</v>
      </c>
      <c r="S34" s="2">
        <v>27.1</v>
      </c>
      <c r="T34" s="2">
        <v>1</v>
      </c>
      <c r="U34" s="2">
        <v>3.6</v>
      </c>
      <c r="V34" s="2">
        <v>0</v>
      </c>
      <c r="W34" s="2">
        <v>1</v>
      </c>
      <c r="X34" s="2">
        <v>1</v>
      </c>
      <c r="Y34" s="2">
        <v>24</v>
      </c>
      <c r="Z34" s="2">
        <v>1</v>
      </c>
      <c r="AA34" s="2" t="s">
        <v>115</v>
      </c>
      <c r="AB34" s="2">
        <v>5</v>
      </c>
      <c r="AC34" s="2" t="s">
        <v>41</v>
      </c>
      <c r="AD34" s="2">
        <v>1</v>
      </c>
      <c r="AE34" s="2" t="s">
        <v>74</v>
      </c>
      <c r="AF34" s="2">
        <v>0</v>
      </c>
      <c r="AG34" s="2">
        <v>1</v>
      </c>
      <c r="AH34" s="2">
        <v>1</v>
      </c>
      <c r="AI34" s="2">
        <f t="shared" si="4"/>
        <v>90</v>
      </c>
      <c r="AJ34" s="2">
        <v>1</v>
      </c>
      <c r="AK34" s="2">
        <v>0</v>
      </c>
      <c r="AL34" s="2">
        <v>0</v>
      </c>
      <c r="AM34" s="2">
        <v>1</v>
      </c>
      <c r="AN34" s="2">
        <v>1</v>
      </c>
      <c r="AO34" s="2" t="s">
        <v>47</v>
      </c>
      <c r="AP34" s="2">
        <v>1</v>
      </c>
      <c r="AQ34" s="2">
        <v>24</v>
      </c>
    </row>
    <row r="35" spans="1:43" ht="12.75" x14ac:dyDescent="0.2">
      <c r="A35" s="1" t="s">
        <v>116</v>
      </c>
      <c r="B35" s="5">
        <v>18</v>
      </c>
      <c r="C35" s="2">
        <v>5.55</v>
      </c>
      <c r="D35" s="2">
        <v>0.68</v>
      </c>
      <c r="E35" s="2">
        <v>4.99</v>
      </c>
      <c r="F35" s="2">
        <v>7.0000000000000007E-2</v>
      </c>
      <c r="G35" s="4">
        <f t="shared" si="9"/>
        <v>-0.55999999999999961</v>
      </c>
      <c r="H35" s="8">
        <f t="shared" si="10"/>
        <v>0.16112452051475937</v>
      </c>
      <c r="I35" s="2">
        <v>18</v>
      </c>
      <c r="J35" s="2">
        <v>5.55</v>
      </c>
      <c r="K35" s="2">
        <v>0.68</v>
      </c>
      <c r="L35" s="2">
        <v>5.08</v>
      </c>
      <c r="M35" s="2">
        <v>0.06</v>
      </c>
      <c r="N35" s="5">
        <f t="shared" si="11"/>
        <v>-0.46999999999999975</v>
      </c>
      <c r="O35" s="10">
        <f t="shared" si="12"/>
        <v>0.16090024514862894</v>
      </c>
      <c r="P35" s="2" t="s">
        <v>125</v>
      </c>
      <c r="Q35" s="2">
        <v>56.9</v>
      </c>
      <c r="R35" s="2">
        <v>1</v>
      </c>
      <c r="S35" s="2">
        <v>25.2</v>
      </c>
      <c r="T35" s="2">
        <v>0</v>
      </c>
      <c r="U35" s="2">
        <v>7.6</v>
      </c>
      <c r="V35" s="2">
        <v>1</v>
      </c>
      <c r="W35" s="2">
        <v>0</v>
      </c>
      <c r="X35" s="2">
        <v>0</v>
      </c>
      <c r="Y35" s="2">
        <v>12</v>
      </c>
      <c r="Z35" s="2">
        <v>0</v>
      </c>
      <c r="AA35" s="2" t="s">
        <v>52</v>
      </c>
      <c r="AB35" s="2">
        <v>2</v>
      </c>
      <c r="AC35" s="2" t="s">
        <v>59</v>
      </c>
      <c r="AD35" s="2">
        <v>0</v>
      </c>
      <c r="AE35" s="2" t="s">
        <v>117</v>
      </c>
      <c r="AF35" s="2">
        <v>0</v>
      </c>
      <c r="AG35" s="2">
        <v>1</v>
      </c>
      <c r="AH35" s="2">
        <v>1</v>
      </c>
      <c r="AI35" s="2">
        <f t="shared" si="4"/>
        <v>36</v>
      </c>
      <c r="AJ35" s="2">
        <v>0</v>
      </c>
      <c r="AK35" s="2">
        <v>0</v>
      </c>
      <c r="AL35" s="2">
        <v>0</v>
      </c>
      <c r="AM35" s="2">
        <v>1</v>
      </c>
      <c r="AN35" s="2">
        <v>1</v>
      </c>
      <c r="AO35" s="2" t="s">
        <v>43</v>
      </c>
      <c r="AP35" s="2">
        <v>0</v>
      </c>
      <c r="AQ35" s="2">
        <v>12</v>
      </c>
    </row>
    <row r="36" spans="1:43" ht="12.75" x14ac:dyDescent="0.2">
      <c r="A36" s="1" t="s">
        <v>118</v>
      </c>
      <c r="B36" s="5">
        <v>33</v>
      </c>
      <c r="C36" s="2">
        <v>5.89</v>
      </c>
      <c r="D36" s="2">
        <v>0.76</v>
      </c>
      <c r="E36" s="2">
        <v>6.02</v>
      </c>
      <c r="F36" s="2">
        <v>0.93</v>
      </c>
      <c r="G36" s="4">
        <f t="shared" si="9"/>
        <v>0.12999999999999989</v>
      </c>
      <c r="H36" s="8">
        <f t="shared" si="10"/>
        <v>0.20907443940405823</v>
      </c>
      <c r="I36" s="2">
        <v>33</v>
      </c>
      <c r="J36" s="2">
        <v>5.88</v>
      </c>
      <c r="K36" s="2">
        <v>0.86</v>
      </c>
      <c r="L36" s="2">
        <v>5.98</v>
      </c>
      <c r="M36" s="2">
        <v>0.75</v>
      </c>
      <c r="N36" s="5">
        <f t="shared" si="11"/>
        <v>0.10000000000000053</v>
      </c>
      <c r="O36" s="10">
        <f t="shared" si="12"/>
        <v>0.1986393107055493</v>
      </c>
      <c r="P36" s="2" t="s">
        <v>125</v>
      </c>
      <c r="Q36" s="2">
        <v>54</v>
      </c>
      <c r="R36" s="2">
        <v>0</v>
      </c>
      <c r="T36" s="2">
        <v>2</v>
      </c>
      <c r="U36" s="2">
        <v>3.2</v>
      </c>
      <c r="V36" s="2">
        <v>0</v>
      </c>
      <c r="W36" s="2">
        <v>1</v>
      </c>
      <c r="X36" s="2">
        <v>1</v>
      </c>
      <c r="Y36" s="2">
        <v>24</v>
      </c>
      <c r="Z36" s="2">
        <v>1</v>
      </c>
      <c r="AA36" s="2" t="s">
        <v>94</v>
      </c>
      <c r="AB36" s="2">
        <v>1</v>
      </c>
      <c r="AC36" s="2" t="s">
        <v>41</v>
      </c>
      <c r="AD36" s="2">
        <v>1</v>
      </c>
      <c r="AE36" s="2" t="s">
        <v>65</v>
      </c>
      <c r="AF36" s="2">
        <v>0</v>
      </c>
      <c r="AG36" s="2">
        <v>1</v>
      </c>
      <c r="AH36" s="2">
        <v>1</v>
      </c>
      <c r="AI36" s="2">
        <f t="shared" si="4"/>
        <v>66</v>
      </c>
      <c r="AJ36" s="2">
        <v>1</v>
      </c>
      <c r="AK36" s="2">
        <v>0</v>
      </c>
      <c r="AL36" s="2">
        <v>0</v>
      </c>
      <c r="AM36" s="2">
        <v>1</v>
      </c>
      <c r="AN36" s="2">
        <v>1</v>
      </c>
      <c r="AO36" s="2" t="s">
        <v>43</v>
      </c>
      <c r="AP36" s="2">
        <v>0</v>
      </c>
      <c r="AQ36" s="2">
        <v>24</v>
      </c>
    </row>
    <row r="37" spans="1:43" ht="12.75" x14ac:dyDescent="0.2">
      <c r="A37" s="1" t="s">
        <v>119</v>
      </c>
      <c r="B37" s="5">
        <v>23</v>
      </c>
      <c r="C37" s="2">
        <v>5.37</v>
      </c>
      <c r="D37" s="2">
        <v>0.93</v>
      </c>
      <c r="E37" s="2">
        <v>5.05</v>
      </c>
      <c r="F37" s="2">
        <v>0.85</v>
      </c>
      <c r="G37" s="4">
        <f t="shared" si="9"/>
        <v>-0.32000000000000028</v>
      </c>
      <c r="H37" s="8">
        <f t="shared" si="10"/>
        <v>0.26271161242767288</v>
      </c>
      <c r="I37" s="2">
        <v>23</v>
      </c>
      <c r="J37" s="2">
        <v>5.41</v>
      </c>
      <c r="K37" s="2">
        <v>0.91</v>
      </c>
      <c r="L37" s="2">
        <v>5.35</v>
      </c>
      <c r="M37" s="2">
        <v>0.84</v>
      </c>
      <c r="N37" s="5">
        <f t="shared" si="11"/>
        <v>-6.0000000000000497E-2</v>
      </c>
      <c r="O37" s="10">
        <f t="shared" si="12"/>
        <v>0.25822975950817945</v>
      </c>
      <c r="P37" s="2" t="s">
        <v>125</v>
      </c>
      <c r="Q37" s="2">
        <v>59</v>
      </c>
      <c r="R37" s="2">
        <v>1</v>
      </c>
      <c r="T37" s="2">
        <v>2</v>
      </c>
      <c r="U37" s="2">
        <v>9.8000000000000007</v>
      </c>
      <c r="V37" s="2">
        <v>1</v>
      </c>
      <c r="W37" s="2">
        <v>0</v>
      </c>
      <c r="X37" s="2">
        <v>0</v>
      </c>
      <c r="Y37" s="2">
        <v>24</v>
      </c>
      <c r="Z37" s="2">
        <v>1</v>
      </c>
      <c r="AA37" s="2" t="s">
        <v>120</v>
      </c>
      <c r="AB37" s="2">
        <v>1</v>
      </c>
      <c r="AC37" s="2" t="s">
        <v>59</v>
      </c>
      <c r="AD37" s="2">
        <v>0</v>
      </c>
      <c r="AE37" s="2" t="s">
        <v>121</v>
      </c>
      <c r="AF37" s="2">
        <v>1</v>
      </c>
      <c r="AG37" s="2">
        <v>1</v>
      </c>
      <c r="AH37" s="2">
        <v>1</v>
      </c>
      <c r="AI37" s="2">
        <f t="shared" si="4"/>
        <v>46</v>
      </c>
      <c r="AJ37" s="2">
        <v>0</v>
      </c>
      <c r="AK37" s="2">
        <v>0</v>
      </c>
      <c r="AL37" s="2">
        <v>0</v>
      </c>
      <c r="AM37" s="2">
        <v>1</v>
      </c>
      <c r="AN37" s="2">
        <v>1</v>
      </c>
      <c r="AO37" s="2" t="s">
        <v>43</v>
      </c>
      <c r="AP37" s="2">
        <v>0</v>
      </c>
      <c r="AQ37" s="2">
        <v>24</v>
      </c>
    </row>
    <row r="38" spans="1:43" x14ac:dyDescent="0.2">
      <c r="A38" s="2" t="s">
        <v>122</v>
      </c>
      <c r="B38" s="2">
        <v>30</v>
      </c>
      <c r="C38" s="2">
        <v>5.51</v>
      </c>
      <c r="D38" s="2">
        <v>0.87</v>
      </c>
      <c r="E38" s="2">
        <v>5.61</v>
      </c>
      <c r="F38" s="2">
        <v>0.95</v>
      </c>
      <c r="G38" s="2">
        <f t="shared" si="9"/>
        <v>0.10000000000000053</v>
      </c>
      <c r="H38" s="9">
        <f t="shared" si="10"/>
        <v>0.2351878681678401</v>
      </c>
      <c r="I38" s="2">
        <v>30</v>
      </c>
      <c r="J38" s="2">
        <v>5.26</v>
      </c>
      <c r="K38" s="2">
        <v>0.83</v>
      </c>
      <c r="L38" s="2">
        <v>5.37</v>
      </c>
      <c r="M38" s="2">
        <v>0.94</v>
      </c>
      <c r="N38" s="2">
        <f t="shared" si="11"/>
        <v>0.11000000000000032</v>
      </c>
      <c r="O38" s="9">
        <f t="shared" si="12"/>
        <v>0.22894686428659963</v>
      </c>
      <c r="P38" s="2" t="s">
        <v>125</v>
      </c>
      <c r="Q38" s="2">
        <v>52.27</v>
      </c>
      <c r="R38" s="2">
        <v>0</v>
      </c>
      <c r="S38" s="2">
        <v>22.63</v>
      </c>
      <c r="T38" s="2">
        <v>0</v>
      </c>
      <c r="U38" s="2">
        <v>7.8</v>
      </c>
      <c r="V38" s="2">
        <v>1</v>
      </c>
      <c r="W38" s="2">
        <v>0</v>
      </c>
      <c r="X38" s="2">
        <v>0</v>
      </c>
      <c r="Y38" s="2">
        <v>24</v>
      </c>
      <c r="Z38" s="2">
        <v>1</v>
      </c>
      <c r="AA38" s="2" t="s">
        <v>90</v>
      </c>
      <c r="AB38" s="2">
        <v>1</v>
      </c>
      <c r="AC38" s="2" t="s">
        <v>89</v>
      </c>
      <c r="AD38" s="2">
        <v>1</v>
      </c>
      <c r="AE38" s="2" t="s">
        <v>50</v>
      </c>
      <c r="AF38" s="2">
        <v>0</v>
      </c>
      <c r="AG38" s="2">
        <v>1</v>
      </c>
      <c r="AH38" s="2">
        <v>1</v>
      </c>
      <c r="AI38" s="2">
        <v>90</v>
      </c>
      <c r="AJ38" s="2">
        <v>1</v>
      </c>
      <c r="AK38" s="2">
        <v>0</v>
      </c>
      <c r="AL38" s="2">
        <v>0</v>
      </c>
      <c r="AM38" s="2">
        <v>0</v>
      </c>
      <c r="AN38" s="2">
        <v>0</v>
      </c>
      <c r="AO38" s="2" t="s">
        <v>47</v>
      </c>
      <c r="AP38" s="2">
        <v>1</v>
      </c>
      <c r="AQ38" s="2">
        <v>24</v>
      </c>
    </row>
    <row r="39" spans="1:43" ht="12.75" x14ac:dyDescent="0.2">
      <c r="A39" s="1" t="s">
        <v>123</v>
      </c>
      <c r="B39" s="5">
        <v>20</v>
      </c>
      <c r="C39" s="2">
        <v>5.81</v>
      </c>
      <c r="D39" s="2">
        <v>0.12</v>
      </c>
      <c r="E39" s="2">
        <v>4.82</v>
      </c>
      <c r="F39" s="2">
        <v>0.08</v>
      </c>
      <c r="G39" s="4">
        <f t="shared" si="9"/>
        <v>-0.98999999999999932</v>
      </c>
      <c r="H39" s="8">
        <f t="shared" si="10"/>
        <v>3.2249030993194198E-2</v>
      </c>
      <c r="I39" s="2">
        <v>20</v>
      </c>
      <c r="J39" s="2">
        <v>5.51</v>
      </c>
      <c r="K39" s="2">
        <v>7.0000000000000007E-2</v>
      </c>
      <c r="L39" s="2">
        <v>5.45</v>
      </c>
      <c r="M39" s="2">
        <v>0.1</v>
      </c>
      <c r="N39" s="5">
        <f t="shared" si="11"/>
        <v>-5.9999999999999609E-2</v>
      </c>
      <c r="O39" s="10">
        <f t="shared" si="12"/>
        <v>2.7294688127912366E-2</v>
      </c>
      <c r="P39" s="2" t="s">
        <v>125</v>
      </c>
      <c r="Q39" s="2">
        <v>50</v>
      </c>
      <c r="R39" s="2">
        <v>0</v>
      </c>
      <c r="S39" s="2">
        <v>27.05</v>
      </c>
      <c r="T39" s="2">
        <v>1</v>
      </c>
      <c r="U39" s="2">
        <v>2.65</v>
      </c>
      <c r="V39" s="2">
        <v>0</v>
      </c>
      <c r="W39" s="2">
        <v>1</v>
      </c>
      <c r="X39" s="2">
        <v>1</v>
      </c>
      <c r="Y39" s="2">
        <v>24</v>
      </c>
      <c r="Z39" s="2">
        <v>1</v>
      </c>
      <c r="AA39" s="2" t="s">
        <v>115</v>
      </c>
      <c r="AB39" s="2">
        <v>5</v>
      </c>
      <c r="AC39" s="2" t="s">
        <v>41</v>
      </c>
      <c r="AD39" s="2">
        <v>1</v>
      </c>
      <c r="AE39" s="2" t="s">
        <v>62</v>
      </c>
      <c r="AF39" s="2">
        <v>0</v>
      </c>
      <c r="AG39" s="2">
        <v>1</v>
      </c>
      <c r="AH39" s="2">
        <v>1</v>
      </c>
      <c r="AI39" s="2">
        <f>B39+I39</f>
        <v>40</v>
      </c>
      <c r="AJ39" s="2">
        <v>0</v>
      </c>
      <c r="AK39" s="2">
        <v>0</v>
      </c>
      <c r="AL39" s="2">
        <v>0</v>
      </c>
      <c r="AM39" s="2">
        <v>1</v>
      </c>
      <c r="AN39" s="2">
        <v>1</v>
      </c>
      <c r="AO39" s="2" t="s">
        <v>43</v>
      </c>
      <c r="AP39" s="2">
        <v>0</v>
      </c>
      <c r="AQ39" s="2">
        <v>24</v>
      </c>
    </row>
    <row r="40" spans="1:43" ht="12" x14ac:dyDescent="0.2">
      <c r="A40" s="7" t="s">
        <v>124</v>
      </c>
      <c r="B40" s="2">
        <v>77</v>
      </c>
      <c r="C40" s="2">
        <v>6.7</v>
      </c>
      <c r="D40" s="2">
        <v>1.1000000000000001</v>
      </c>
      <c r="E40" s="2">
        <v>6.1</v>
      </c>
      <c r="F40" s="2">
        <v>1.1000000000000001</v>
      </c>
      <c r="G40" s="2">
        <f t="shared" si="9"/>
        <v>-0.60000000000000053</v>
      </c>
      <c r="H40" s="9">
        <f t="shared" si="10"/>
        <v>0.17728105208558367</v>
      </c>
      <c r="I40" s="2">
        <v>83</v>
      </c>
      <c r="J40" s="2">
        <v>6.7</v>
      </c>
      <c r="K40" s="2">
        <v>1.1000000000000001</v>
      </c>
      <c r="L40" s="2">
        <v>6.6</v>
      </c>
      <c r="M40" s="2">
        <v>1.1000000000000001</v>
      </c>
      <c r="N40" s="2">
        <f t="shared" si="11"/>
        <v>-0.10000000000000053</v>
      </c>
      <c r="O40" s="9">
        <f t="shared" si="12"/>
        <v>0.17075311565539325</v>
      </c>
      <c r="P40" s="2" t="s">
        <v>125</v>
      </c>
      <c r="Q40" s="2">
        <v>56.9</v>
      </c>
      <c r="R40" s="2">
        <v>1</v>
      </c>
      <c r="S40" s="2">
        <v>22.7</v>
      </c>
      <c r="T40" s="2">
        <v>1</v>
      </c>
      <c r="V40" s="2">
        <v>2</v>
      </c>
      <c r="W40" s="2">
        <v>1</v>
      </c>
      <c r="X40" s="2">
        <v>1</v>
      </c>
      <c r="Y40" s="2">
        <v>24</v>
      </c>
      <c r="Z40" s="2">
        <v>1</v>
      </c>
      <c r="AA40" s="2" t="s">
        <v>90</v>
      </c>
      <c r="AB40" s="2">
        <v>1</v>
      </c>
      <c r="AC40" s="2" t="s">
        <v>89</v>
      </c>
      <c r="AD40" s="2">
        <v>1</v>
      </c>
      <c r="AE40" s="2" t="s">
        <v>62</v>
      </c>
      <c r="AF40" s="2">
        <v>0</v>
      </c>
      <c r="AG40" s="2">
        <v>0</v>
      </c>
      <c r="AH40" s="2">
        <v>0</v>
      </c>
      <c r="AI40" s="2">
        <v>160</v>
      </c>
      <c r="AJ40" s="2">
        <v>1</v>
      </c>
      <c r="AK40" s="2">
        <v>1</v>
      </c>
      <c r="AL40" s="2">
        <v>1</v>
      </c>
      <c r="AM40" s="2">
        <v>0</v>
      </c>
      <c r="AN40" s="2">
        <v>0</v>
      </c>
      <c r="AO40" s="2" t="s">
        <v>47</v>
      </c>
      <c r="AP40" s="2">
        <v>1</v>
      </c>
      <c r="AQ40" s="2">
        <v>24</v>
      </c>
    </row>
    <row r="42" spans="1:43" x14ac:dyDescent="0.2">
      <c r="P42" s="3" t="s">
        <v>128</v>
      </c>
      <c r="Q42" s="3">
        <f>MEDIAN(Q2:Q40)</f>
        <v>55.7</v>
      </c>
      <c r="R42" s="3"/>
      <c r="S42" s="3">
        <f>MEDIAN(S2:S40)</f>
        <v>26.25</v>
      </c>
      <c r="T42" s="3"/>
      <c r="U42" s="3">
        <f>MEDIAN(U2:U40)</f>
        <v>6.665</v>
      </c>
      <c r="V42" s="3"/>
      <c r="W42" s="3"/>
      <c r="X42" s="3"/>
      <c r="Y42" s="3">
        <f>MEDIAN(Y2:Y40)</f>
        <v>12</v>
      </c>
      <c r="Z42" s="3"/>
      <c r="AA42" s="3"/>
      <c r="AB42" s="3"/>
      <c r="AC42" s="3"/>
      <c r="AD42" s="3"/>
      <c r="AE42" s="3"/>
      <c r="AF42" s="3"/>
      <c r="AG42" s="3"/>
      <c r="AH42" s="3"/>
      <c r="AI42" s="2">
        <f>MEDIAN(AI2:AI41)</f>
        <v>50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 cholesterol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Glisic Marija</dc:creator>
  <cp:lastModifiedBy>Muka, Taulant (ISPM)</cp:lastModifiedBy>
  <dcterms:created xsi:type="dcterms:W3CDTF">2023-06-09T09:28:07Z</dcterms:created>
  <dcterms:modified xsi:type="dcterms:W3CDTF">2023-10-15T08:55:45Z</dcterms:modified>
</cp:coreProperties>
</file>